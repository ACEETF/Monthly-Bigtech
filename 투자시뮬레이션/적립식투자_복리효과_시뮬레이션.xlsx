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가정" sheetId="2" state="visible" r:id="rId2"/>
    <sheet name="1_기간별비교" sheetId="3" state="visible" r:id="rId3"/>
    <sheet name="2_시작시점비교" sheetId="4" state="visible" r:id="rId4"/>
    <sheet name="3_적게빨리vs많이늦게" sheetId="5" state="visible" r:id="rId5"/>
    <sheet name="4_연도별추이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#,##0;(#,##0);-"/>
    <numFmt numFmtId="165" formatCode="0.0%;(0.0%);-"/>
    <numFmt numFmtId="166" formatCode="0.0000%"/>
    <numFmt numFmtId="167" formatCode="0.0000"/>
    <numFmt numFmtId="168" formatCode="0&quot;세&quot;"/>
    <numFmt numFmtId="169" formatCode="0&quot;년&quot;"/>
    <numFmt numFmtId="170" formatCode="#,##0&quot;개월&quot;"/>
    <numFmt numFmtId="171" formatCode="0.00&quot;배&quot;"/>
  </numFmts>
  <fonts count="17">
    <font>
      <name val="Calibri"/>
      <family val="2"/>
      <color theme="1"/>
      <sz val="11"/>
      <scheme val="minor"/>
    </font>
    <font>
      <name val="맑은 고딕"/>
      <b val="1"/>
      <color rgb="001F3864"/>
      <sz val="16"/>
    </font>
    <font>
      <name val="맑은 고딕"/>
      <color rgb="00595959"/>
      <sz val="10"/>
    </font>
    <font>
      <name val="맑은 고딕"/>
      <b val="1"/>
      <color rgb="001F3864"/>
      <sz val="12"/>
    </font>
    <font>
      <name val="맑은 고딕"/>
      <b val="1"/>
      <color rgb="00FFFFFF"/>
      <sz val="10"/>
    </font>
    <font>
      <name val="맑은 고딕"/>
      <b val="1"/>
      <color rgb="00000000"/>
      <sz val="10"/>
    </font>
    <font>
      <name val="맑은 고딕"/>
      <color rgb="000000FF"/>
      <sz val="10"/>
    </font>
    <font>
      <name val="맑은 고딕"/>
      <color rgb="00000000"/>
      <sz val="10"/>
    </font>
    <font>
      <name val="맑은 고딕"/>
      <color rgb="00808080"/>
      <sz val="9"/>
    </font>
    <font>
      <name val="맑은 고딕"/>
      <color rgb="00404040"/>
      <sz val="9"/>
    </font>
    <font>
      <name val="맑은 고딕"/>
      <color rgb="00008000"/>
      <sz val="10"/>
    </font>
    <font>
      <name val="맑은 고딕"/>
      <color rgb="00C00000"/>
      <sz val="10"/>
    </font>
    <font>
      <name val="맑은 고딕"/>
      <b val="1"/>
      <color rgb="00C00000"/>
      <sz val="10"/>
    </font>
    <font>
      <name val="맑은 고딕"/>
      <b val="1"/>
      <color rgb="00FFFFFF"/>
      <sz val="11"/>
    </font>
    <font>
      <name val="맑은 고딕"/>
      <b val="1"/>
      <color rgb="00000000"/>
      <sz val="11"/>
    </font>
    <font>
      <name val="맑은 고딕"/>
      <b val="1"/>
      <color rgb="00C00000"/>
      <sz val="9"/>
    </font>
    <font>
      <name val="맑은 고딕"/>
      <b val="1"/>
      <color rgb="001F3864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00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CE4E4"/>
      </patternFill>
    </fill>
  </fills>
  <borders count="8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/>
      <bottom style="thin">
        <color rgb="00BFBFBF"/>
      </bottom>
      <diagonal/>
    </border>
    <border>
      <left/>
      <right style="thin">
        <color rgb="00BFBFBF"/>
      </right>
      <top/>
      <bottom/>
      <diagonal/>
    </border>
    <border>
      <left/>
      <right/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6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/>
    </xf>
    <xf numFmtId="164" fontId="10" fillId="0" borderId="1" applyAlignment="1" pivotButton="0" quotePrefix="0" xfId="0">
      <alignment horizontal="right" vertical="center"/>
    </xf>
    <xf numFmtId="0" fontId="8" fillId="0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/>
    </xf>
    <xf numFmtId="164" fontId="10" fillId="4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left" vertical="center"/>
    </xf>
    <xf numFmtId="164" fontId="14" fillId="5" borderId="1" applyAlignment="1" pivotButton="0" quotePrefix="0" xfId="0">
      <alignment horizontal="right" vertical="center"/>
    </xf>
    <xf numFmtId="165" fontId="10" fillId="4" borderId="1" applyAlignment="1" pivotButton="0" quotePrefix="0" xfId="0">
      <alignment horizontal="right" vertical="center"/>
    </xf>
    <xf numFmtId="164" fontId="10" fillId="6" borderId="1" applyAlignment="1" pivotButton="0" quotePrefix="0" xfId="0">
      <alignment horizontal="right" vertical="center"/>
    </xf>
    <xf numFmtId="164" fontId="14" fillId="7" borderId="1" applyAlignment="1" pivotButton="0" quotePrefix="0" xfId="0">
      <alignment horizontal="right" vertical="center"/>
    </xf>
    <xf numFmtId="164" fontId="7" fillId="5" borderId="1" applyAlignment="1" pivotButton="0" quotePrefix="0" xfId="0">
      <alignment horizontal="right" vertical="center"/>
    </xf>
    <xf numFmtId="164" fontId="7" fillId="4" borderId="1" applyAlignment="1" pivotButton="0" quotePrefix="0" xfId="0">
      <alignment horizontal="right" vertical="center"/>
    </xf>
    <xf numFmtId="171" fontId="7" fillId="4" borderId="1" applyAlignment="1" pivotButton="0" quotePrefix="0" xfId="0">
      <alignment horizontal="right" vertical="center"/>
    </xf>
    <xf numFmtId="164" fontId="7" fillId="0" borderId="1" applyAlignment="1" pivotButton="0" quotePrefix="0" xfId="0">
      <alignment horizontal="right" vertical="center"/>
    </xf>
    <xf numFmtId="164" fontId="5" fillId="6" borderId="1" applyAlignment="1" pivotButton="0" quotePrefix="0" xfId="0">
      <alignment horizontal="right" vertical="center"/>
    </xf>
    <xf numFmtId="164" fontId="5" fillId="7" borderId="1" applyAlignment="1" pivotButton="0" quotePrefix="0" xfId="0">
      <alignment horizontal="right" vertical="center"/>
    </xf>
    <xf numFmtId="164" fontId="5" fillId="5" borderId="1" applyAlignment="1" pivotButton="0" quotePrefix="0" xfId="0">
      <alignment horizontal="right" vertical="center"/>
    </xf>
    <xf numFmtId="0" fontId="15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0" fontId="16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0" fillId="0" borderId="4" pivotButton="0" quotePrefix="0" xfId="0"/>
    <xf numFmtId="164" fontId="6" fillId="3" borderId="1" applyAlignment="1" pivotButton="0" quotePrefix="0" xfId="0">
      <alignment horizontal="right" vertical="center"/>
    </xf>
    <xf numFmtId="0" fontId="7" fillId="0" borderId="5" applyAlignment="1" pivotButton="0" quotePrefix="0" xfId="0">
      <alignment horizontal="left" vertical="center"/>
    </xf>
    <xf numFmtId="0" fontId="0" fillId="0" borderId="5" pivotButton="0" quotePrefix="0" xfId="0"/>
    <xf numFmtId="165" fontId="6" fillId="3" borderId="1" applyAlignment="1" pivotButton="0" quotePrefix="0" xfId="0">
      <alignment horizontal="right" vertical="center"/>
    </xf>
    <xf numFmtId="166" fontId="7" fillId="0" borderId="1" applyAlignment="1" pivotButton="0" quotePrefix="0" xfId="0">
      <alignment horizontal="right" vertical="center"/>
    </xf>
    <xf numFmtId="167" fontId="7" fillId="0" borderId="1" applyAlignment="1" pivotButton="0" quotePrefix="0" xfId="0">
      <alignment horizontal="right" vertical="center"/>
    </xf>
    <xf numFmtId="168" fontId="6" fillId="3" borderId="1" applyAlignment="1" pivotButton="0" quotePrefix="0" xfId="0">
      <alignment horizontal="right" vertical="center"/>
    </xf>
    <xf numFmtId="0" fontId="9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center"/>
    </xf>
    <xf numFmtId="169" fontId="6" fillId="3" borderId="1" applyAlignment="1" pivotButton="0" quotePrefix="0" xfId="0">
      <alignment horizontal="center" vertical="center"/>
    </xf>
    <xf numFmtId="170" fontId="7" fillId="0" borderId="1" applyAlignment="1" pivotButton="0" quotePrefix="0" xfId="0">
      <alignment horizontal="right" vertical="center"/>
    </xf>
    <xf numFmtId="164" fontId="5" fillId="0" borderId="1" applyAlignment="1" pivotButton="0" quotePrefix="0" xfId="0">
      <alignment horizontal="right" vertical="center"/>
    </xf>
    <xf numFmtId="165" fontId="7" fillId="0" borderId="1" applyAlignment="1" pivotButton="0" quotePrefix="0" xfId="0">
      <alignment horizontal="right" vertical="center"/>
    </xf>
    <xf numFmtId="171" fontId="7" fillId="0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center" vertical="center"/>
    </xf>
    <xf numFmtId="170" fontId="7" fillId="4" borderId="1" applyAlignment="1" pivotButton="0" quotePrefix="0" xfId="0">
      <alignment horizontal="right" vertical="center"/>
    </xf>
    <xf numFmtId="164" fontId="5" fillId="4" borderId="1" applyAlignment="1" pivotButton="0" quotePrefix="0" xfId="0">
      <alignment horizontal="right" vertical="center"/>
    </xf>
    <xf numFmtId="165" fontId="7" fillId="4" borderId="1" applyAlignment="1" pivotButton="0" quotePrefix="0" xfId="0">
      <alignment horizontal="right" vertical="center"/>
    </xf>
    <xf numFmtId="0" fontId="7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 vertical="center"/>
    </xf>
    <xf numFmtId="168" fontId="5" fillId="5" borderId="1" applyAlignment="1" pivotButton="0" quotePrefix="0" xfId="0">
      <alignment horizontal="center" vertical="center"/>
    </xf>
    <xf numFmtId="169" fontId="7" fillId="5" borderId="1" applyAlignment="1" pivotButton="0" quotePrefix="0" xfId="0">
      <alignment horizontal="center" vertical="center"/>
    </xf>
    <xf numFmtId="170" fontId="7" fillId="5" borderId="1" applyAlignment="1" pivotButton="0" quotePrefix="0" xfId="0">
      <alignment horizontal="right" vertical="center"/>
    </xf>
    <xf numFmtId="164" fontId="10" fillId="5" borderId="1" applyAlignment="1" pivotButton="0" quotePrefix="0" xfId="0">
      <alignment horizontal="right" vertical="center"/>
    </xf>
    <xf numFmtId="165" fontId="7" fillId="5" borderId="1" applyAlignment="1" pivotButton="0" quotePrefix="0" xfId="0">
      <alignment horizontal="right" vertical="center"/>
    </xf>
    <xf numFmtId="168" fontId="7" fillId="4" borderId="1" applyAlignment="1" pivotButton="0" quotePrefix="0" xfId="0">
      <alignment horizontal="center" vertical="center"/>
    </xf>
    <xf numFmtId="169" fontId="7" fillId="4" borderId="1" applyAlignment="1" pivotButton="0" quotePrefix="0" xfId="0">
      <alignment horizontal="center" vertical="center"/>
    </xf>
    <xf numFmtId="168" fontId="7" fillId="0" borderId="1" applyAlignment="1" pivotButton="0" quotePrefix="0" xfId="0">
      <alignment horizontal="center" vertical="center"/>
    </xf>
    <xf numFmtId="169" fontId="7" fillId="0" borderId="1" applyAlignment="1" pivotButton="0" quotePrefix="0" xfId="0">
      <alignment horizontal="center" vertical="center"/>
    </xf>
    <xf numFmtId="164" fontId="12" fillId="4" borderId="1" applyAlignment="1" pivotButton="0" quotePrefix="0" xfId="0">
      <alignment horizontal="right" vertical="center"/>
    </xf>
    <xf numFmtId="171" fontId="5" fillId="4" borderId="1" applyAlignment="1" pivotButton="0" quotePrefix="0" xfId="0">
      <alignment horizontal="right" vertical="center"/>
    </xf>
    <xf numFmtId="164" fontId="12" fillId="5" borderId="1" applyAlignment="1" pivotButton="0" quotePrefix="0" xfId="0">
      <alignment horizontal="right" vertical="center"/>
    </xf>
    <xf numFmtId="171" fontId="5" fillId="5" borderId="1" applyAlignment="1" pivotButton="0" quotePrefix="0" xfId="0">
      <alignment horizontal="right" vertical="center"/>
    </xf>
    <xf numFmtId="164" fontId="12" fillId="0" borderId="1" applyAlignment="1" pivotButton="0" quotePrefix="0" xfId="0">
      <alignment horizontal="right" vertical="center"/>
    </xf>
    <xf numFmtId="171" fontId="5" fillId="0" borderId="1" applyAlignment="1" pivotButton="0" quotePrefix="0" xfId="0">
      <alignment horizontal="right" vertical="center"/>
    </xf>
    <xf numFmtId="0" fontId="4" fillId="2" borderId="1" applyAlignment="1" pivotButton="0" quotePrefix="0" xfId="0">
      <alignment horizontal="left" vertical="center"/>
    </xf>
    <xf numFmtId="0" fontId="12" fillId="0" borderId="1" applyAlignment="1" pivotButton="0" quotePrefix="0" xfId="0">
      <alignment horizontal="left" vertical="center"/>
    </xf>
    <xf numFmtId="0" fontId="0" fillId="0" borderId="7" pivotButton="0" quotePrefix="0" xfId="0"/>
    <xf numFmtId="0" fontId="13" fillId="2" borderId="1" applyAlignment="1" pivotButton="0" quotePrefix="0" xfId="0">
      <alignment horizontal="left" vertical="center"/>
    </xf>
    <xf numFmtId="171" fontId="1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기간별 납입원금 vs 투자수익 (월 50만원 · 연 5%)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'1_기간별비교'!F5</f>
            </strRef>
          </tx>
          <spPr>
            <a:ln>
              <a:prstDash val="solid"/>
            </a:ln>
          </spPr>
          <cat>
            <numRef>
              <f>'1_기간별비교'!$B$6:$B$8</f>
            </numRef>
          </cat>
          <val>
            <numRef>
              <f>'1_기간별비교'!$F$6:$F$8</f>
            </numRef>
          </val>
        </ser>
        <ser>
          <idx val="1"/>
          <order val="1"/>
          <tx>
            <strRef>
              <f>'1_기간별비교'!G5</f>
            </strRef>
          </tx>
          <spPr>
            <a:ln>
              <a:prstDash val="solid"/>
            </a:ln>
          </spPr>
          <cat>
            <numRef>
              <f>'1_기간별비교'!$B$6:$B$8</f>
            </numRef>
          </cat>
          <val>
            <numRef>
              <f>'1_기간별비교'!$G$6:$G$8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투자기간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금액(원)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시작 연령별 60세 최종자산 (월 50만원 · 연 5%)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'2_시작시점비교'!H6</f>
            </strRef>
          </tx>
          <spPr>
            <a:ln>
              <a:prstDash val="solid"/>
            </a:ln>
          </spPr>
          <cat>
            <numRef>
              <f>'2_시작시점비교'!$B$7:$B$11</f>
            </numRef>
          </cat>
          <val>
            <numRef>
              <f>'2_시작시점비교'!$H$7:$H$11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시작 연령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60세 최종자산(원)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따라잡기 위해 필요한 월 납입액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'2_시작시점비교'!D16</f>
            </strRef>
          </tx>
          <spPr>
            <a:ln>
              <a:prstDash val="solid"/>
            </a:ln>
          </spPr>
          <cat>
            <numRef>
              <f>'2_시작시점비교'!$B$17:$B$20</f>
            </numRef>
          </cat>
          <val>
            <numRef>
              <f>'2_시작시점비교'!$D$17:$D$20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시작 연령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월 납입액(원)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연령별 자산 추이 (연 5% 가정)</a:t>
            </a:r>
          </a:p>
        </rich>
      </tx>
    </title>
    <plotArea>
      <lineChart>
        <grouping val="standard"/>
        <ser>
          <idx val="0"/>
          <order val="0"/>
          <tx>
            <strRef>
              <f>'4_연도별추이'!D5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'4_연도별추이'!$B$6:$B$36</f>
            </numRef>
          </cat>
          <val>
            <numRef>
              <f>'4_연도별추이'!$D$6:$D$36</f>
            </numRef>
          </val>
          <smooth val="0"/>
        </ser>
        <ser>
          <idx val="1"/>
          <order val="1"/>
          <tx>
            <strRef>
              <f>'4_연도별추이'!E5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'4_연도별추이'!$B$6:$B$36</f>
            </numRef>
          </cat>
          <val>
            <numRef>
              <f>'4_연도별추이'!$E$6:$E$36</f>
            </numRef>
          </val>
          <smooth val="0"/>
        </ser>
        <ser>
          <idx val="2"/>
          <order val="2"/>
          <tx>
            <strRef>
              <f>'4_연도별추이'!F5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'4_연도별추이'!$B$6:$B$36</f>
            </numRef>
          </cat>
          <val>
            <numRef>
              <f>'4_연도별추이'!$F$6:$F$36</f>
            </numRef>
          </val>
          <smooth val="0"/>
        </ser>
        <ser>
          <idx val="3"/>
          <order val="3"/>
          <tx>
            <strRef>
              <f>'4_연도별추이'!G5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'4_연도별추이'!$B$6:$B$36</f>
            </numRef>
          </cat>
          <val>
            <numRef>
              <f>'4_연도별추이'!$G$6:$G$36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연령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평가금액(원)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시뮬레이션</author>
  </authors>
  <commentList>
    <comment ref="C7" authorId="0" shapeId="0">
      <text>
        <t>사용자 제시 가정: 월 50만원 정액 적립</t>
      </text>
    </comment>
    <comment ref="C8" authorId="0" shapeId="0">
      <text>
        <t>사용자 제시 가정: 연 수익률 5% (월복리 환산 적용)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Relationship Type="http://schemas.openxmlformats.org/officeDocument/2006/relationships/chart" Target="/xl/charts/chart3.xml" Id="rId2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15</row>
      <rowOff>0</rowOff>
    </from>
    <ext cx="648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28</row>
      <rowOff>0</rowOff>
    </from>
    <ext cx="648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28</row>
      <rowOff>0</rowOff>
    </from>
    <ext cx="6480000" cy="32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4</row>
      <rowOff>0</rowOff>
    </from>
    <ext cx="864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36"/>
  <sheetViews>
    <sheetView showGridLines="0" zoomScale="100" workbookViewId="0">
      <selection activeCell="A1" sqref="A1"/>
    </sheetView>
  </sheetViews>
  <sheetFormatPr baseColWidth="8" defaultRowHeight="15"/>
  <cols>
    <col width="2" customWidth="1" min="1" max="1"/>
    <col width="34" customWidth="1" min="2" max="2"/>
    <col width="20" customWidth="1" min="3" max="3"/>
    <col width="20" customWidth="1" min="4" max="4"/>
    <col width="20" customWidth="1" min="5" max="5"/>
    <col width="24" customWidth="1" min="6" max="6"/>
    <col width="2" customWidth="1" min="7" max="7"/>
  </cols>
  <sheetData>
    <row r="2">
      <c r="B2" s="1" t="inlineStr">
        <is>
          <t>적립식 투자, 왜 '빨리' 시작해야 하는가</t>
        </is>
      </c>
    </row>
    <row r="3">
      <c r="B3" s="2" t="inlineStr">
        <is>
          <t>월 50만원 · 연 수익률 5% · 월복리 재투자 가정 (세금·보수 미반영)</t>
        </is>
      </c>
    </row>
    <row r="5">
      <c r="B5" s="3" t="inlineStr">
        <is>
          <t>한눈에 보기 ①  같은 돈, 다른 시간</t>
        </is>
      </c>
    </row>
    <row r="6" ht="30" customHeight="1">
      <c r="B6" s="4" t="inlineStr">
        <is>
          <t>구분</t>
        </is>
      </c>
      <c r="C6" s="4" t="inlineStr">
        <is>
          <t>10년</t>
        </is>
      </c>
      <c r="D6" s="4" t="inlineStr">
        <is>
          <t>20년</t>
        </is>
      </c>
      <c r="E6" s="4" t="inlineStr">
        <is>
          <t>30년</t>
        </is>
      </c>
      <c r="F6" s="4" t="inlineStr">
        <is>
          <t>비고</t>
        </is>
      </c>
    </row>
    <row r="7">
      <c r="B7" s="5" t="inlineStr">
        <is>
          <t>납입원금(원)</t>
        </is>
      </c>
      <c r="C7" s="6">
        <f>'1_기간별비교'!F6</f>
        <v>60000000.0</v>
      </c>
      <c r="D7" s="6">
        <f>'1_기간별비교'!F7</f>
        <v>120000000.0</v>
      </c>
      <c r="E7" s="6">
        <f>'1_기간별비교'!F8</f>
        <v>180000000.0</v>
      </c>
      <c r="F7" s="7" t="inlineStr">
        <is>
          <t>월 50만원 × 개월수</t>
        </is>
      </c>
    </row>
    <row r="8">
      <c r="B8" s="8" t="inlineStr">
        <is>
          <t>투자수익(원)</t>
        </is>
      </c>
      <c r="C8" s="9">
        <f>'1_기간별비교'!G6</f>
        <v>17641139.72283362</v>
      </c>
      <c r="D8" s="9">
        <f>'1_기간별비교'!G7</f>
        <v>85516834.25783864</v>
      </c>
      <c r="E8" s="9">
        <f>'1_기간별비교'!G8</f>
        <v>236129317.68073308</v>
      </c>
      <c r="F8" s="7" t="inlineStr">
        <is>
          <t>복리로 불어난 금액</t>
        </is>
      </c>
    </row>
    <row r="9">
      <c r="B9" s="10" t="inlineStr">
        <is>
          <t>최종자산(원)</t>
        </is>
      </c>
      <c r="C9" s="11">
        <f>'1_기간별비교'!H6</f>
        <v>77641139.72283362</v>
      </c>
      <c r="D9" s="11">
        <f>'1_기간별비교'!H7</f>
        <v>205516834.25783864</v>
      </c>
      <c r="E9" s="11">
        <f>'1_기간별비교'!H8</f>
        <v>416129317.6807331</v>
      </c>
      <c r="F9" s="7" t="inlineStr">
        <is>
          <t>원금 + 투자수익</t>
        </is>
      </c>
    </row>
    <row r="10">
      <c r="B10" s="8" t="inlineStr">
        <is>
          <t>수익이 차지하는 비중</t>
        </is>
      </c>
      <c r="C10" s="12">
        <f>C8/C9</f>
        <v>0.2272138171310938</v>
      </c>
      <c r="D10" s="12">
        <f>D8/D9</f>
        <v>0.41610622588001905</v>
      </c>
      <c r="E10" s="12">
        <f>E8/E9</f>
        <v>0.5674421571562968</v>
      </c>
      <c r="F10" s="7" t="inlineStr">
        <is>
          <t>기간이 길수록 급증</t>
        </is>
      </c>
    </row>
    <row r="13">
      <c r="B13" s="3" t="inlineStr">
        <is>
          <t>한눈에 보기 ②  10년 늦게 시작하면?</t>
        </is>
      </c>
    </row>
    <row r="14" ht="30" customHeight="1">
      <c r="B14" s="4" t="inlineStr">
        <is>
          <t>구분</t>
        </is>
      </c>
      <c r="C14" s="4" t="inlineStr">
        <is>
          <t>30세 시작</t>
        </is>
      </c>
      <c r="D14" s="4" t="inlineStr">
        <is>
          <t>40세 시작</t>
        </is>
      </c>
      <c r="E14" s="4" t="inlineStr">
        <is>
          <t>차이</t>
        </is>
      </c>
      <c r="F14" s="4" t="inlineStr">
        <is>
          <t>비고</t>
        </is>
      </c>
    </row>
    <row r="15">
      <c r="B15" s="10" t="inlineStr">
        <is>
          <t>60세 최종자산(원)</t>
        </is>
      </c>
      <c r="C15" s="13">
        <f>'2_시작시점비교'!H7</f>
        <v>416129317.6807331</v>
      </c>
      <c r="D15" s="14">
        <f>'2_시작시점비교'!H9</f>
        <v>205516834.25783864</v>
      </c>
      <c r="E15" s="15">
        <f>C15-D15</f>
        <v>210612483.42289445</v>
      </c>
      <c r="F15" s="7" t="inlineStr">
        <is>
          <t>둘 다 월 50만원 · 60세 종료</t>
        </is>
      </c>
    </row>
    <row r="16">
      <c r="B16" s="8" t="inlineStr">
        <is>
          <t>총 납입원금(원)</t>
        </is>
      </c>
      <c r="C16" s="9">
        <f>'2_시작시점비교'!F7</f>
        <v>180000000.0</v>
      </c>
      <c r="D16" s="16">
        <f>'2_시작시점비교'!F9</f>
        <v>120000000.0</v>
      </c>
      <c r="E16" s="16">
        <f>C16-D16</f>
        <v>60000000.0</v>
      </c>
      <c r="F16" s="7" t="inlineStr">
        <is>
          <t>40세 시작자는 원금도 적음</t>
        </is>
      </c>
    </row>
    <row r="17">
      <c r="B17" s="10" t="inlineStr">
        <is>
          <t>따라잡기 필요 월납입액(원)</t>
        </is>
      </c>
      <c r="C17" s="13">
        <f>'2_시작시점비교'!E7</f>
        <v>500000.0</v>
      </c>
      <c r="D17" s="14">
        <f>'2_시작시점비교'!D18</f>
        <v>1012397.1575940656</v>
      </c>
      <c r="E17" s="15">
        <f>D17-C17</f>
        <v>512397.15759406565</v>
      </c>
      <c r="F17" s="7" t="inlineStr">
        <is>
          <t>40세 시작자가 동일 자산을 만들려면</t>
        </is>
      </c>
    </row>
    <row r="18">
      <c r="B18" s="8" t="inlineStr">
        <is>
          <t>→ 월 납입 배수</t>
        </is>
      </c>
      <c r="C18" s="17" t="n">
        <v>1</v>
      </c>
      <c r="D18" s="17">
        <f>'2_시작시점비교'!E18</f>
        <v>2.024794315188131</v>
      </c>
      <c r="E18" s="17">
        <f>D18-C18</f>
        <v>1.0247943151881311</v>
      </c>
      <c r="F18" s="7" t="inlineStr">
        <is>
          <t>10년의 공백을 메우는 비용</t>
        </is>
      </c>
    </row>
    <row r="19">
      <c r="B19" s="5" t="inlineStr">
        <is>
          <t>→ 추가 납입원금(원)</t>
        </is>
      </c>
      <c r="C19" s="18" t="n">
        <v>0</v>
      </c>
      <c r="D19" s="18">
        <f>'2_시작시점비교'!H18</f>
        <v>62975317.82257575</v>
      </c>
      <c r="E19" s="18">
        <f>D19-C19</f>
        <v>62975317.82257575</v>
      </c>
      <c r="F19" s="7" t="inlineStr">
        <is>
          <t>일찍 시작했다면 안 냈을 돈</t>
        </is>
      </c>
    </row>
    <row r="21">
      <c r="B21" s="3" t="inlineStr">
        <is>
          <t>한눈에 보기 ③  적게 빨리 vs 많이 늦게</t>
        </is>
      </c>
    </row>
    <row r="22" ht="30" customHeight="1">
      <c r="B22" s="4" t="inlineStr">
        <is>
          <t>비교</t>
        </is>
      </c>
      <c r="C22" s="4" t="inlineStr">
        <is>
          <t>A (빨리 시작)</t>
        </is>
      </c>
      <c r="D22" s="4" t="inlineStr">
        <is>
          <t>B (늦게 시작·많이)</t>
        </is>
      </c>
      <c r="E22" s="4" t="inlineStr">
        <is>
          <t>A − B</t>
        </is>
      </c>
      <c r="F22" s="4" t="inlineStr">
        <is>
          <t>결론</t>
        </is>
      </c>
    </row>
    <row r="23">
      <c r="B23" s="10" t="inlineStr">
        <is>
          <t>① 30세 월30만(30년) vs 40세 월50만(20년) — 최종자산</t>
        </is>
      </c>
      <c r="C23" s="19">
        <f>'3_적게빨리vs많이늦게'!C11</f>
        <v>249677590.60843983</v>
      </c>
      <c r="D23" s="20">
        <f>'3_적게빨리vs많이늦게'!D11</f>
        <v>205516834.25783864</v>
      </c>
      <c r="E23" s="21">
        <f>C23-D23</f>
        <v>44160756.3506012</v>
      </c>
      <c r="F23" s="22" t="inlineStr">
        <is>
          <t>적게 넣어도 A 승</t>
        </is>
      </c>
    </row>
    <row r="24">
      <c r="B24" s="23" t="inlineStr">
        <is>
          <t xml:space="preserve">   └ 총 납입원금</t>
        </is>
      </c>
      <c r="C24" s="18">
        <f>'3_적게빨리vs많이늦게'!C9</f>
        <v>108000000.0</v>
      </c>
      <c r="D24" s="18">
        <f>'3_적게빨리vs많이늦게'!D9</f>
        <v>120000000.0</v>
      </c>
      <c r="E24" s="18">
        <f>C24-D24</f>
        <v>-12000000.0</v>
      </c>
      <c r="F24" s="7" t="inlineStr">
        <is>
          <t>A가 원금도 더 적음</t>
        </is>
      </c>
    </row>
    <row r="25">
      <c r="B25" s="10" t="inlineStr">
        <is>
          <t>② 30세 10년만 납입 후 거치 vs 40세 20년 납입 — 최종자산</t>
        </is>
      </c>
      <c r="C25" s="19">
        <f>'3_적게빨리vs많이늦게'!C22</f>
        <v>210612483.42289436</v>
      </c>
      <c r="D25" s="20">
        <f>'3_적게빨리vs많이늦게'!D22</f>
        <v>205516834.25783864</v>
      </c>
      <c r="E25" s="21">
        <f>C25-D25</f>
        <v>5095649.165055722</v>
      </c>
      <c r="F25" s="22" t="inlineStr">
        <is>
          <t>절반만 넣고 멈춰도 A 승</t>
        </is>
      </c>
    </row>
    <row r="26">
      <c r="B26" s="23" t="inlineStr">
        <is>
          <t xml:space="preserve">   └ 총 납입원금</t>
        </is>
      </c>
      <c r="C26" s="18">
        <f>'3_적게빨리vs많이늦게'!C20</f>
        <v>60000000.0</v>
      </c>
      <c r="D26" s="18">
        <f>'3_적게빨리vs많이늦게'!D20</f>
        <v>120000000.0</v>
      </c>
      <c r="E26" s="18">
        <f>C26-D26</f>
        <v>-60000000.0</v>
      </c>
      <c r="F26" s="7" t="inlineStr">
        <is>
          <t>A는 B의 절반</t>
        </is>
      </c>
    </row>
    <row r="28">
      <c r="B28" s="3" t="inlineStr">
        <is>
          <t>결론</t>
        </is>
      </c>
    </row>
    <row r="29" ht="20" customHeight="1">
      <c t="str" r="B29" s="24">
        <f>"1. 시간이 곧 수익이다 : 월 50만원 30년 투자 시 최종자산 "&amp;TEXT(E9,"#,##0")&amp;"원 중 "&amp;TEXT(E10,"0.0%")&amp;"가 투자수익입니다."</f>
        <v>1. 시간이 곧 수익이다 : 월 50만원 30년 투자 시 최종자산 416,129,318원 중 56.7%가 투자수익입니다.</v>
      </c>
    </row>
    <row r="30" ht="20" customHeight="1">
      <c t="str" r="B30" s="24">
        <f>"2. 10년의 지각비 : 40세 시작자가 30세 시작자를 따라잡으려면 매월 "&amp;TEXT(D17,"#,##0")&amp;"원("&amp;TEXT(D18,"0.00")&amp;"배), 원금은 "&amp;TEXT(D19,"#,##0")&amp;"원을 더 넣어야 합니다."</f>
        <v>2. 10년의 지각비 : 40세 시작자가 30세 시작자를 따라잡으려면 매월 1,012,397원(2.02배), 원금은 62,975,318원을 더 넣어야 합니다.</v>
      </c>
    </row>
    <row r="31" ht="20" customHeight="1">
      <c t="str" r="B31" s="24">
        <f>"3. 금액보다 시점 : 30세에 월 30만원이 40세에 월 50만원을 이깁니다. 원금을 "&amp;TEXT(D24-C24,"#,##0")&amp;"원 덜 넣고도 "&amp;TEXT(C23-D23,"#,##0")&amp;"원을 더 법니다."</f>
        <v>3. 금액보다 시점 : 30세에 월 30만원이 40세에 월 50만원을 이깁니다. 원금을 12,000,000원 덜 넣고도 44,160,756원을 더 법니다.</v>
      </c>
    </row>
    <row r="32" ht="20" customHeight="1">
      <c t="str" r="B32" s="24">
        <f>"4. 시작이 전부 : 30세부터 10년만 넣고 20년간 방치해도, 40세부터 20년 내내 넣은 것보다 "&amp;TEXT(C25-D25,"#,##0")&amp;"원 앞섭니다."</f>
        <v>4. 시작이 전부 : 30세부터 10년만 넣고 20년간 방치해도, 40세부터 20년 내내 넣은 것보다 5,095,649원 앞섭니다.</v>
      </c>
    </row>
    <row r="33" ht="20" customHeight="1">
      <c r="B33" s="25" t="inlineStr">
        <is>
          <t>5. 지금 할 일 : 금액을 완벽하게 정하려다 미루지 말 것. 소액이라도 오늘 시작하는 것이 가장 큰 수익률 개선입니다.</t>
        </is>
      </c>
    </row>
    <row r="36">
      <c r="B36" s="26" t="inlineStr">
        <is>
          <t>※ 연 5%는 사용자 제시 가정치이며 확정수익률이 아닙니다. 세금·보수·물가상승률 미반영. 투자원금 손실이 발생할 수 있습니다.</t>
        </is>
      </c>
    </row>
  </sheetData>
  <mergeCells count="6">
    <mergeCell ref="B30:F30"/>
    <mergeCell ref="B29:F29"/>
    <mergeCell ref="B33:F33"/>
    <mergeCell ref="B31:F31"/>
    <mergeCell ref="B36:F36"/>
    <mergeCell ref="B32:F3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E25"/>
  <sheetViews>
    <sheetView showGridLines="0" zoomScale="100" workbookViewId="0">
      <selection activeCell="A1" sqref="A1"/>
    </sheetView>
  </sheetViews>
  <sheetFormatPr baseColWidth="8" defaultRowHeight="15"/>
  <cols>
    <col width="2" customWidth="1" min="1" max="1"/>
    <col width="26" customWidth="1" min="2" max="2"/>
    <col width="18" customWidth="1" min="3" max="3"/>
    <col width="6" customWidth="1" min="4" max="4"/>
    <col width="62" customWidth="1" min="5" max="5"/>
  </cols>
  <sheetData>
    <row r="2">
      <c r="B2" s="1" t="inlineStr">
        <is>
          <t>적립식 투자 복리효과 시뮬레이션</t>
        </is>
      </c>
    </row>
    <row r="3">
      <c r="B3" s="2" t="inlineStr">
        <is>
          <t>노란색 음영 + 파란색 글씨 셀만 수정하시면 모든 시트가 자동으로 재계산됩니다.</t>
        </is>
      </c>
    </row>
    <row r="5">
      <c r="B5" s="3" t="inlineStr">
        <is>
          <t>■ 기본 가정</t>
        </is>
      </c>
    </row>
    <row r="6" ht="30" customHeight="1">
      <c r="B6" s="4" t="inlineStr">
        <is>
          <t>항목</t>
        </is>
      </c>
      <c r="C6" s="4" t="inlineStr">
        <is>
          <t>값</t>
        </is>
      </c>
      <c r="D6" s="4" t="inlineStr"/>
      <c r="E6" s="27" t="n"/>
    </row>
    <row r="7">
      <c r="B7" s="5" t="inlineStr">
        <is>
          <t>월 납입액 (원)</t>
        </is>
      </c>
      <c r="C7" s="28" t="n">
        <v>500000</v>
      </c>
      <c r="D7" s="29" t="inlineStr"/>
      <c r="E7" s="30" t="n"/>
    </row>
    <row r="8">
      <c r="B8" s="5" t="inlineStr">
        <is>
          <t>연 수익률</t>
        </is>
      </c>
      <c r="C8" s="31" t="n">
        <v>0.05</v>
      </c>
      <c r="D8" s="29" t="inlineStr"/>
      <c r="E8" s="30" t="n"/>
    </row>
    <row r="9">
      <c r="B9" s="5" t="inlineStr">
        <is>
          <t>월 수익률</t>
        </is>
      </c>
      <c r="C9" s="32">
        <f>C8/12</f>
        <v>0.004166666666666667</v>
      </c>
      <c r="D9" s="29" t="inlineStr"/>
      <c r="E9" s="30" t="n"/>
    </row>
    <row r="10">
      <c r="B10" s="5" t="inlineStr">
        <is>
          <t>연 환산 복리계수</t>
        </is>
      </c>
      <c r="C10" s="33">
        <f>(1+C9)^12</f>
        <v>1.051161897881733</v>
      </c>
      <c r="D10" s="29" t="inlineStr"/>
      <c r="E10" s="30" t="n"/>
    </row>
    <row r="12">
      <c r="B12" s="3" t="inlineStr">
        <is>
          <t>■ 연령 가정</t>
        </is>
      </c>
    </row>
    <row r="13" ht="30" customHeight="1">
      <c r="B13" s="4" t="inlineStr">
        <is>
          <t>항목</t>
        </is>
      </c>
      <c r="C13" s="4" t="inlineStr">
        <is>
          <t>값</t>
        </is>
      </c>
      <c r="D13" s="4" t="inlineStr"/>
      <c r="E13" s="27" t="n"/>
    </row>
    <row r="14">
      <c r="B14" s="5" t="inlineStr">
        <is>
          <t>빠른 시작 연령</t>
        </is>
      </c>
      <c r="C14" s="34" t="n">
        <v>30</v>
      </c>
      <c r="D14" s="29" t="inlineStr"/>
      <c r="E14" s="30" t="n"/>
    </row>
    <row r="15">
      <c r="B15" s="5" t="inlineStr">
        <is>
          <t>늦은 시작 연령</t>
        </is>
      </c>
      <c r="C15" s="34" t="n">
        <v>40</v>
      </c>
      <c r="D15" s="29" t="inlineStr"/>
      <c r="E15" s="30" t="n"/>
    </row>
    <row r="16">
      <c r="B16" s="5" t="inlineStr">
        <is>
          <t>은퇴(목표) 연령</t>
        </is>
      </c>
      <c r="C16" s="34" t="n">
        <v>60</v>
      </c>
      <c r="D16" s="29" t="inlineStr"/>
      <c r="E16" s="30" t="n"/>
    </row>
    <row r="18">
      <c r="B18" s="3" t="inlineStr">
        <is>
          <t>■ 계산 방식 및 유의사항</t>
        </is>
      </c>
    </row>
    <row r="19">
      <c r="B19" s="35" t="inlineStr">
        <is>
          <t>① 적립 방식: 매월 말 정액 납입(기말급 연금, ordinary annuity), 월복리 재투자 가정.</t>
        </is>
      </c>
    </row>
    <row r="20">
      <c r="B20" s="35" t="inlineStr">
        <is>
          <t>② 최종자산 = 월납입액 × [ (1+월수익률)^납입개월수 − 1 ] ÷ 월수익률</t>
        </is>
      </c>
    </row>
    <row r="21">
      <c r="B21" s="36" t="inlineStr">
        <is>
          <t>③ 납입원금 = 월납입액 × 납입개월수,  투자수익 = 최종자산 − 납입원금</t>
        </is>
      </c>
    </row>
    <row r="22">
      <c r="B22" s="36" t="inlineStr">
        <is>
          <t>④ 연 5% 수익률은 사용자가 제시한 가정치이며 특정 상품의 확정수익률이 아닙니다.</t>
        </is>
      </c>
    </row>
    <row r="23">
      <c r="B23" s="36" t="inlineStr">
        <is>
          <t>⑤ 세금(배당소득세·양도소득세), 판매보수·운용보수, 매매비용, 물가상승률은 반영하지 않았습니다.</t>
        </is>
      </c>
    </row>
    <row r="24">
      <c r="B24" s="36" t="inlineStr">
        <is>
          <t>⑥ 실제 수익률은 매년 변동하므로 본 자료는 복리 구조를 설명하기 위한 예시입니다.</t>
        </is>
      </c>
    </row>
    <row r="25">
      <c r="B25" s="36" t="inlineStr">
        <is>
          <t>⑦ 투자원금 손실이 발생할 수 있으며 과거·가정 수익률이 미래 수익률을 보장하지 않습니다.</t>
        </is>
      </c>
    </row>
  </sheetData>
  <mergeCells count="16">
    <mergeCell ref="D8:E8"/>
    <mergeCell ref="D6:E6"/>
    <mergeCell ref="B23:E23"/>
    <mergeCell ref="D16:E16"/>
    <mergeCell ref="D10:E10"/>
    <mergeCell ref="D7:E7"/>
    <mergeCell ref="D15:E15"/>
    <mergeCell ref="D13:E13"/>
    <mergeCell ref="B21:E21"/>
    <mergeCell ref="D14:E14"/>
    <mergeCell ref="B25:E25"/>
    <mergeCell ref="B24:E24"/>
    <mergeCell ref="B19:E19"/>
    <mergeCell ref="B20:E20"/>
    <mergeCell ref="D9:E9"/>
    <mergeCell ref="B22:E22"/>
  </mergeCell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J13"/>
  <sheetViews>
    <sheetView showGridLines="0" zoomScale="100" workbookViewId="0">
      <selection activeCell="A1" sqref="A1"/>
    </sheetView>
  </sheetViews>
  <sheetFormatPr baseColWidth="8" defaultRowHeight="15"/>
  <cols>
    <col width="2" customWidth="1" min="1" max="1"/>
    <col width="14" customWidth="1" min="2" max="2"/>
    <col width="12" customWidth="1" min="3" max="3"/>
    <col width="14" customWidth="1" min="4" max="4"/>
    <col width="16" customWidth="1" min="5" max="5"/>
    <col width="16" customWidth="1" min="6" max="6"/>
    <col width="18" customWidth="1" min="7" max="7"/>
    <col width="14" customWidth="1" min="8" max="8"/>
    <col width="12" customWidth="1" min="9" max="9"/>
    <col width="2" customWidth="1" min="10" max="10"/>
  </cols>
  <sheetData>
    <row r="2">
      <c r="B2" s="1" t="inlineStr">
        <is>
          <t>① 월 50만원 적립 · 연 5% 가정 — 기간별 결과</t>
        </is>
      </c>
    </row>
    <row r="3">
      <c r="B3" s="2" t="inlineStr">
        <is>
          <t>같은 금액을 넣어도 '기간'이 길어질수록 투자수익이 원금을 압도합니다.</t>
        </is>
      </c>
    </row>
    <row r="5" ht="30" customHeight="1">
      <c r="B5" s="4" t="inlineStr">
        <is>
          <t>구분</t>
        </is>
      </c>
      <c r="C5" s="4" t="inlineStr">
        <is>
          <t>납입기간</t>
        </is>
      </c>
      <c r="D5" s="4" t="inlineStr">
        <is>
          <t>납입개월</t>
        </is>
      </c>
      <c r="E5" s="4" t="inlineStr">
        <is>
          <t>월 납입액(원)</t>
        </is>
      </c>
      <c r="F5" s="4" t="inlineStr">
        <is>
          <t>납입원금(원)</t>
        </is>
      </c>
      <c r="G5" s="4" t="inlineStr">
        <is>
          <t>투자수익(원)</t>
        </is>
      </c>
      <c r="H5" s="4" t="inlineStr">
        <is>
          <t>최종자산(원)</t>
        </is>
      </c>
      <c r="I5" s="4" t="inlineStr">
        <is>
          <t>수익/원금</t>
        </is>
      </c>
      <c r="J5" s="4" t="inlineStr">
        <is>
          <t>자산배수</t>
        </is>
      </c>
    </row>
    <row r="6">
      <c r="B6" s="37" t="inlineStr">
        <is>
          <t>10년 투자</t>
        </is>
      </c>
      <c r="C6" s="38" t="n">
        <v>10</v>
      </c>
      <c r="D6" s="39">
        <f>C6*12</f>
        <v>120.0</v>
      </c>
      <c r="E6" s="6">
        <f>가정!$C$7</f>
        <v>500000.0</v>
      </c>
      <c r="F6" s="18">
        <f>E6*D6</f>
        <v>60000000.0</v>
      </c>
      <c r="G6" s="18">
        <f>H6-F6</f>
        <v>17641139.72283362</v>
      </c>
      <c r="H6" s="40">
        <f>E6*((1+가정!$C$9)^(D6)-1)/가정!$C$9</f>
        <v>77641139.72283362</v>
      </c>
      <c r="I6" s="41">
        <f>G6/F6</f>
        <v>0.2940189953805603</v>
      </c>
      <c r="J6" s="42">
        <f>H6/F6</f>
        <v>1.2940189953805603</v>
      </c>
    </row>
    <row r="7">
      <c r="B7" s="43" t="inlineStr">
        <is>
          <t>20년 투자</t>
        </is>
      </c>
      <c r="C7" s="38" t="n">
        <v>20</v>
      </c>
      <c r="D7" s="44">
        <f>C7*12</f>
        <v>240.0</v>
      </c>
      <c r="E7" s="9">
        <f>가정!$C$7</f>
        <v>500000.0</v>
      </c>
      <c r="F7" s="16">
        <f>E7*D7</f>
        <v>120000000.0</v>
      </c>
      <c r="G7" s="16">
        <f>H7-F7</f>
        <v>85516834.25783864</v>
      </c>
      <c r="H7" s="45">
        <f>E7*((1+가정!$C$9)^(D7)-1)/가정!$C$9</f>
        <v>205516834.25783864</v>
      </c>
      <c r="I7" s="46">
        <f>G7/F7</f>
        <v>0.7126402854819887</v>
      </c>
      <c r="J7" s="17">
        <f>H7/F7</f>
        <v>1.7126402854819887</v>
      </c>
    </row>
    <row r="8">
      <c r="B8" s="37" t="inlineStr">
        <is>
          <t>30년 투자</t>
        </is>
      </c>
      <c r="C8" s="38" t="n">
        <v>30</v>
      </c>
      <c r="D8" s="39">
        <f>C8*12</f>
        <v>360.0</v>
      </c>
      <c r="E8" s="6">
        <f>가정!$C$7</f>
        <v>500000.0</v>
      </c>
      <c r="F8" s="18">
        <f>E8*D8</f>
        <v>180000000.0</v>
      </c>
      <c r="G8" s="18">
        <f>H8-F8</f>
        <v>236129317.68073308</v>
      </c>
      <c r="H8" s="40">
        <f>E8*((1+가정!$C$9)^(D8)-1)/가정!$C$9</f>
        <v>416129317.6807331</v>
      </c>
      <c r="I8" s="41">
        <f>G8/F8</f>
        <v>1.3118295426707394</v>
      </c>
      <c r="J8" s="42">
        <f>H8/F8</f>
        <v>2.3118295426707394</v>
      </c>
    </row>
    <row r="10">
      <c r="B10" s="3" t="inlineStr">
        <is>
          <t>핵심 메시지</t>
        </is>
      </c>
    </row>
    <row r="11">
      <c t="str" r="B11" s="47">
        <f>" · 10년 → 30년으로 기간이 3배가 되면 납입원금은 3배지만, 최종자산은 "&amp;TEXT(H8/H6,"0.0")&amp;"배가 됩니다."</f>
        <v> · 10년 → 30년으로 기간이 3배가 되면 납입원금은 3배지만, 최종자산은 5.4배가 됩니다.</v>
      </c>
    </row>
    <row r="12">
      <c t="str" r="B12" s="47">
        <f>" · 30년 투자 시 최종자산의 "&amp;TEXT(G8/H8,"0.0%")&amp;"가 원금이 아닌 '투자수익'입니다. (10년 투자 시에는 "&amp;TEXT(G6/H6,"0.0%")&amp;")"</f>
        <v> · 30년 투자 시 최종자산의 56.7%가 원금이 아닌 '투자수익'입니다. (10년 투자 시에는 22.7%)</v>
      </c>
    </row>
    <row r="13">
      <c t="str" r="B13" s="48">
        <f>" · 마지막 10년(20년차→30년차)에만 자산이 "&amp;TEXT(H8-H7,"#,##0")&amp;"원 늘어납니다. 이는 첫 10년 증가분("&amp;TEXT(H6,"#,##0")&amp;"원)의 "&amp;TEXT((H8-H7)/H6,"0.0")&amp;"배입니다."</f>
        <v> · 마지막 10년(20년차→30년차)에만 자산이 210,612,483원 늘어납니다. 이는 첫 10년 증가분(77,641,140원)의 2.7배입니다.</v>
      </c>
    </row>
  </sheetData>
  <mergeCells count="3">
    <mergeCell ref="B12:J12"/>
    <mergeCell ref="B11:J11"/>
    <mergeCell ref="B13:J13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K26"/>
  <sheetViews>
    <sheetView showGridLines="0" zoomScale="100" workbookViewId="0">
      <selection activeCell="A1" sqref="A1"/>
    </sheetView>
  </sheetViews>
  <sheetFormatPr baseColWidth="8" defaultRowHeight="15"/>
  <cols>
    <col width="2" customWidth="1" min="1" max="1"/>
    <col width="20" customWidth="1" min="2" max="2"/>
    <col width="14" customWidth="1" min="3" max="3"/>
    <col width="14" customWidth="1" min="4" max="4"/>
    <col width="16" customWidth="1" min="5" max="5"/>
    <col width="16" customWidth="1" min="6" max="6"/>
    <col width="18" customWidth="1" min="7" max="7"/>
    <col width="18" customWidth="1" min="8" max="8"/>
    <col width="16" customWidth="1" min="9" max="9"/>
    <col width="14" customWidth="1" min="10" max="10"/>
    <col width="18" customWidth="1" min="11" max="11"/>
  </cols>
  <sheetData>
    <row r="2">
      <c r="B2" s="1" t="inlineStr">
        <is>
          <t>② 30세 시작 vs 40세 시작 — 10년의 값어치</t>
        </is>
      </c>
    </row>
    <row r="3">
      <c r="B3" s="2" t="inlineStr">
        <is>
          <t>모두 60세까지 월 50만원(연 5%)을 적립했을 때의 결과입니다.</t>
        </is>
      </c>
    </row>
    <row r="5">
      <c r="B5" s="3" t="inlineStr">
        <is>
          <t>■ 시작 연령별 결과 (60세 종료 기준)</t>
        </is>
      </c>
    </row>
    <row r="6" ht="30" customHeight="1">
      <c r="B6" s="4" t="inlineStr">
        <is>
          <t>시작 연령</t>
        </is>
      </c>
      <c r="C6" s="4" t="inlineStr">
        <is>
          <t>납입기간</t>
        </is>
      </c>
      <c r="D6" s="4" t="inlineStr">
        <is>
          <t>납입개월</t>
        </is>
      </c>
      <c r="E6" s="4" t="inlineStr">
        <is>
          <t>월 납입액(원)</t>
        </is>
      </c>
      <c r="F6" s="4" t="inlineStr">
        <is>
          <t>납입원금(원)</t>
        </is>
      </c>
      <c r="G6" s="4" t="inlineStr">
        <is>
          <t>투자수익(원)</t>
        </is>
      </c>
      <c r="H6" s="4" t="inlineStr">
        <is>
          <t>60세 최종자산(원)</t>
        </is>
      </c>
      <c r="I6" s="4" t="inlineStr">
        <is>
          <t>30세 시작 대비 부족액(원)</t>
        </is>
      </c>
      <c r="J6" s="4" t="inlineStr">
        <is>
          <t>30세 시작 대비 달성률</t>
        </is>
      </c>
    </row>
    <row r="7">
      <c r="B7" s="49" t="n">
        <v>30</v>
      </c>
      <c r="C7" s="50">
        <f>가정!$C$16-B7</f>
        <v>30.0</v>
      </c>
      <c r="D7" s="51">
        <f>C7*12</f>
        <v>360.0</v>
      </c>
      <c r="E7" s="52">
        <f>가정!$C$7</f>
        <v>500000.0</v>
      </c>
      <c r="F7" s="15">
        <f>E7*D7</f>
        <v>180000000.0</v>
      </c>
      <c r="G7" s="15">
        <f>H7-F7</f>
        <v>236129317.68073308</v>
      </c>
      <c r="H7" s="21">
        <f>E7*((1+가정!$C$9)^(D7)-1)/가정!$C$9</f>
        <v>416129317.6807331</v>
      </c>
      <c r="I7" s="15">
        <f>H7-$H$7</f>
        <v>0.0</v>
      </c>
      <c r="J7" s="53">
        <f>H7/$H$7</f>
        <v>1.0</v>
      </c>
    </row>
    <row r="8">
      <c r="B8" s="54" t="n">
        <v>35</v>
      </c>
      <c r="C8" s="55">
        <f>가정!$C$16-B8</f>
        <v>25.0</v>
      </c>
      <c r="D8" s="44">
        <f>C8*12</f>
        <v>300.0</v>
      </c>
      <c r="E8" s="9">
        <f>가정!$C$7</f>
        <v>500000.0</v>
      </c>
      <c r="F8" s="16">
        <f>E8*D8</f>
        <v>150000000.0</v>
      </c>
      <c r="G8" s="16">
        <f>H8-F8</f>
        <v>147754854.2437865</v>
      </c>
      <c r="H8" s="45">
        <f>E8*((1+가정!$C$9)^(D8)-1)/가정!$C$9</f>
        <v>297754854.2437865</v>
      </c>
      <c r="I8" s="16">
        <f>H8-$H$7</f>
        <v>-118374463.43694657</v>
      </c>
      <c r="J8" s="46">
        <f>H8/$H$7</f>
        <v>0.7155344302662976</v>
      </c>
    </row>
    <row r="9">
      <c r="B9" s="49" t="n">
        <v>40</v>
      </c>
      <c r="C9" s="50">
        <f>가정!$C$16-B9</f>
        <v>20.0</v>
      </c>
      <c r="D9" s="51">
        <f>C9*12</f>
        <v>240.0</v>
      </c>
      <c r="E9" s="52">
        <f>가정!$C$7</f>
        <v>500000.0</v>
      </c>
      <c r="F9" s="15">
        <f>E9*D9</f>
        <v>120000000.0</v>
      </c>
      <c r="G9" s="15">
        <f>H9-F9</f>
        <v>85516834.25783864</v>
      </c>
      <c r="H9" s="21">
        <f>E9*((1+가정!$C$9)^(D9)-1)/가정!$C$9</f>
        <v>205516834.25783864</v>
      </c>
      <c r="I9" s="15">
        <f>H9-$H$7</f>
        <v>-210612483.42289445</v>
      </c>
      <c r="J9" s="53">
        <f>H9/$H$7</f>
        <v>0.4938773249702087</v>
      </c>
    </row>
    <row r="10">
      <c r="B10" s="54" t="n">
        <v>45</v>
      </c>
      <c r="C10" s="55">
        <f>가정!$C$16-B10</f>
        <v>15.0</v>
      </c>
      <c r="D10" s="44">
        <f>C10*12</f>
        <v>180.0</v>
      </c>
      <c r="E10" s="9">
        <f>가정!$C$7</f>
        <v>500000.0</v>
      </c>
      <c r="F10" s="16">
        <f>E10*D10</f>
        <v>90000000.0</v>
      </c>
      <c r="G10" s="16">
        <f>H10-F10</f>
        <v>43644471.89262366</v>
      </c>
      <c r="H10" s="45">
        <f>E10*((1+가정!$C$9)^(D10)-1)/가정!$C$9</f>
        <v>133644471.89262366</v>
      </c>
      <c r="I10" s="16">
        <f>H10-$H$7</f>
        <v>-282484845.7881094</v>
      </c>
      <c r="J10" s="46">
        <f>H10/$H$7</f>
        <v>0.3211609137214401</v>
      </c>
    </row>
    <row r="11">
      <c r="B11" s="56" t="n">
        <v>50</v>
      </c>
      <c r="C11" s="57">
        <f>가정!$C$16-B11</f>
        <v>10.0</v>
      </c>
      <c r="D11" s="39">
        <f>C11*12</f>
        <v>120.0</v>
      </c>
      <c r="E11" s="6">
        <f>가정!$C$7</f>
        <v>500000.0</v>
      </c>
      <c r="F11" s="18">
        <f>E11*D11</f>
        <v>60000000.0</v>
      </c>
      <c r="G11" s="18">
        <f>H11-F11</f>
        <v>17641139.72283362</v>
      </c>
      <c r="H11" s="40">
        <f>E11*((1+가정!$C$9)^(D11)-1)/가정!$C$9</f>
        <v>77641139.72283362</v>
      </c>
      <c r="I11" s="18">
        <f>H11-$H$7</f>
        <v>-338488177.95789945</v>
      </c>
      <c r="J11" s="41">
        <f>H11/$H$7</f>
        <v>0.18657935508019705</v>
      </c>
    </row>
    <row r="14">
      <c r="B14" s="3" t="inlineStr">
        <is>
          <t>■ 늦게 시작한 사람이 '따라잡으려면' 얼마를 더 내야 하나?</t>
        </is>
      </c>
    </row>
    <row r="15">
      <c r="B15" s="2" t="inlineStr">
        <is>
          <t>60세 시점 자산을 30세 시작(월 50만원)과 똑같이 맞추기 위해 필요한 월 납입액입니다.</t>
        </is>
      </c>
    </row>
    <row r="16" ht="30" customHeight="1">
      <c r="B16" s="4" t="inlineStr">
        <is>
          <t>시작 연령</t>
        </is>
      </c>
      <c r="C16" s="4" t="inlineStr">
        <is>
          <t>납입기간</t>
        </is>
      </c>
      <c r="D16" s="4" t="inlineStr">
        <is>
          <t>따라잡기 필요 월납입액(원)</t>
        </is>
      </c>
      <c r="E16" s="4" t="inlineStr">
        <is>
          <t>월 50만원 대비 배수</t>
        </is>
      </c>
      <c r="F16" s="4" t="inlineStr">
        <is>
          <t>월 추가부담액(원)</t>
        </is>
      </c>
      <c r="G16" s="4" t="inlineStr">
        <is>
          <t>총 납입원금(원)</t>
        </is>
      </c>
      <c r="H16" s="4" t="inlineStr">
        <is>
          <t>30세 시작 대비 추가 납입원금(원)</t>
        </is>
      </c>
      <c r="I16" s="4" t="inlineStr">
        <is>
          <t>그래도 남는 투자수익 차이(원)</t>
        </is>
      </c>
    </row>
    <row r="17">
      <c r="B17" s="54">
        <f>$B$8</f>
        <v>35.0</v>
      </c>
      <c r="C17" s="55">
        <f>$C$8</f>
        <v>25.0</v>
      </c>
      <c r="D17" s="58">
        <f>($H$7)/(((1+가정!$C$9)^($D$8)-1)/가정!$C$9)</f>
        <v>698778.3939536173</v>
      </c>
      <c r="E17" s="59">
        <f>D17/가정!$C$7</f>
        <v>1.3975567879072346</v>
      </c>
      <c r="F17" s="16">
        <f>D17-가정!$C$7</f>
        <v>198778.3939536173</v>
      </c>
      <c r="G17" s="16">
        <f>D17*$D$8</f>
        <v>209633518.1860852</v>
      </c>
      <c r="H17" s="16">
        <f>G17-$F$7</f>
        <v>29633518.186085194</v>
      </c>
      <c r="I17" s="16">
        <f>($H$7-G17)-($H$7-$F$7)</f>
        <v>-29633518.186085194</v>
      </c>
    </row>
    <row r="18">
      <c r="B18" s="49">
        <f>$B$9</f>
        <v>40.0</v>
      </c>
      <c r="C18" s="50">
        <f>$C$9</f>
        <v>20.0</v>
      </c>
      <c r="D18" s="60">
        <f>($H$7)/(((1+가정!$C$9)^($D$9)-1)/가정!$C$9)</f>
        <v>1012397.1575940656</v>
      </c>
      <c r="E18" s="61">
        <f>D18/가정!$C$7</f>
        <v>2.024794315188131</v>
      </c>
      <c r="F18" s="15">
        <f>D18-가정!$C$7</f>
        <v>512397.15759406565</v>
      </c>
      <c r="G18" s="15">
        <f>D18*$D$9</f>
        <v>242975317.82257575</v>
      </c>
      <c r="H18" s="15">
        <f>G18-$F$7</f>
        <v>62975317.82257575</v>
      </c>
      <c r="I18" s="15">
        <f>($H$7-G18)-($H$7-$F$7)</f>
        <v>-62975317.82257575</v>
      </c>
    </row>
    <row r="19">
      <c r="B19" s="54">
        <f>$B$10</f>
        <v>45.0</v>
      </c>
      <c r="C19" s="55">
        <f>$C$10</f>
        <v>15.0</v>
      </c>
      <c r="D19" s="58">
        <f>($H$7)/(((1+가정!$C$9)^($D$10)-1)/가정!$C$9)</f>
        <v>1556851.9662192657</v>
      </c>
      <c r="E19" s="59">
        <f>D19/가정!$C$7</f>
        <v>3.1137039324385314</v>
      </c>
      <c r="F19" s="16">
        <f>D19-가정!$C$7</f>
        <v>1056851.9662192657</v>
      </c>
      <c r="G19" s="16">
        <f>D19*$D$10</f>
        <v>280233353.9194678</v>
      </c>
      <c r="H19" s="16">
        <f>G19-$F$7</f>
        <v>100233353.9194678</v>
      </c>
      <c r="I19" s="16">
        <f>($H$7-G19)-($H$7-$F$7)</f>
        <v>-100233353.9194678</v>
      </c>
    </row>
    <row r="20">
      <c r="B20" s="56">
        <f>$B$11</f>
        <v>50.0</v>
      </c>
      <c r="C20" s="57">
        <f>$C$11</f>
        <v>10.0</v>
      </c>
      <c r="D20" s="62">
        <f>($H$7)/(((1+가정!$C$9)^($D$11)-1)/가정!$C$9)</f>
        <v>2679824.8915861356</v>
      </c>
      <c r="E20" s="63">
        <f>D20/가정!$C$7</f>
        <v>5.359649783172271</v>
      </c>
      <c r="F20" s="18">
        <f>D20-가정!$C$7</f>
        <v>2179824.8915861356</v>
      </c>
      <c r="G20" s="18">
        <f>D20*$D$11</f>
        <v>321578986.9903363</v>
      </c>
      <c r="H20" s="18">
        <f>G20-$F$7</f>
        <v>141578986.9903363</v>
      </c>
      <c r="I20" s="18">
        <f>($H$7-G20)-($H$7-$F$7)</f>
        <v>-141578986.9903363</v>
      </c>
    </row>
    <row r="22">
      <c r="B22" s="3" t="inlineStr">
        <is>
          <t>핵심 메시지</t>
        </is>
      </c>
    </row>
    <row r="23">
      <c t="str" r="B23" s="47">
        <f>" · 30세에 시작하면 60세에 "&amp;TEXT(H7,"#,##0")&amp;"원, 40세에 시작하면 "&amp;TEXT(H9,"#,##0")&amp;"원입니다. 10년 늦은 대가는 "&amp;TEXT(-I9,"#,##0")&amp;"원입니다."</f>
        <v> · 30세에 시작하면 60세에 416,129,318원, 40세에 시작하면 205,516,834원입니다. 10년 늦은 대가는 210,612,483원입니다.</v>
      </c>
    </row>
    <row r="24">
      <c t="str" r="B24" s="25">
        <f>" · 40세 시작자가 30세 시작자를 따라잡으려면 월 "&amp;TEXT(D18,"#,##0")&amp;"원, 즉 "&amp;TEXT(E18,"0.00")&amp;"배를 넣어야 합니다."</f>
        <v> · 40세 시작자가 30세 시작자를 따라잡으려면 월 1,012,397원, 즉 2.02배를 넣어야 합니다.</v>
      </c>
    </row>
    <row r="25">
      <c t="str" r="B25" s="25">
        <f>" · 그 결과 납입원금만 "&amp;TEXT(H18,"#,##0")&amp;"원을 더 부담하게 됩니다. 10년 먼저 시작했다면 내지 않아도 될 돈입니다."</f>
        <v> · 그 결과 납입원금만 62,975,318원을 더 부담하게 됩니다. 10년 먼저 시작했다면 내지 않아도 될 돈입니다.</v>
      </c>
    </row>
    <row r="26">
      <c t="str" r="B26" s="47">
        <f>" · 50세에 시작하면 월 "&amp;TEXT(D20,"#,##0")&amp;"원("&amp;TEXT(E20,"0.00")&amp;"배)이 필요합니다. 늦어질수록 따라잡기 부담은 기하급수적으로 커집니다."</f>
        <v> · 50세에 시작하면 월 2,679,825원(5.36배)이 필요합니다. 늦어질수록 따라잡기 부담은 기하급수적으로 커집니다.</v>
      </c>
    </row>
  </sheetData>
  <mergeCells count="4">
    <mergeCell ref="B26:K26"/>
    <mergeCell ref="B23:K23"/>
    <mergeCell ref="B25:K25"/>
    <mergeCell ref="B24:K24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E39"/>
  <sheetViews>
    <sheetView showGridLines="0" zoomScale="100" workbookViewId="0">
      <selection activeCell="A1" sqref="A1"/>
    </sheetView>
  </sheetViews>
  <sheetFormatPr baseColWidth="8" defaultRowHeight="15"/>
  <cols>
    <col width="2" customWidth="1" min="1" max="1"/>
    <col width="30" customWidth="1" min="2" max="2"/>
    <col width="22" customWidth="1" min="3" max="3"/>
    <col width="22" customWidth="1" min="4" max="4"/>
    <col width="20" customWidth="1" min="5" max="5"/>
    <col width="2" customWidth="1" min="6" max="6"/>
  </cols>
  <sheetData>
    <row r="2">
      <c r="B2" s="1" t="inlineStr">
        <is>
          <t>③ 적은 금액이라도 빨리 vs 많은 금액을 늦게</t>
        </is>
      </c>
    </row>
    <row r="3">
      <c r="B3" s="2" t="inlineStr">
        <is>
          <t>'금액'보다 '시간'이 강하다는 것을 보여주는 세 가지 비교입니다. (연 5% · 60세 종료)</t>
        </is>
      </c>
    </row>
    <row r="5">
      <c r="B5" s="3" t="inlineStr">
        <is>
          <t>■ 비교 1 : 30세부터 '월 30만원' 30년  vs  40세부터 '월 50만원' 20년</t>
        </is>
      </c>
    </row>
    <row r="6" ht="30" customHeight="1">
      <c r="B6" s="4" t="inlineStr">
        <is>
          <t>구분</t>
        </is>
      </c>
      <c r="C6" s="4" t="inlineStr">
        <is>
          <t>A. 30세 시작 · 월 30만원</t>
        </is>
      </c>
      <c r="D6" s="4" t="inlineStr">
        <is>
          <t>B. 40세 시작 · 월 50만원</t>
        </is>
      </c>
      <c r="E6" s="4" t="inlineStr">
        <is>
          <t>차이 (A − B)</t>
        </is>
      </c>
    </row>
    <row r="7">
      <c r="B7" s="5" t="inlineStr">
        <is>
          <t>월 납입액(원)</t>
        </is>
      </c>
      <c r="C7" s="28" t="n">
        <v>300000</v>
      </c>
      <c r="D7" s="18">
        <f>가정!$C$7</f>
        <v>500000.0</v>
      </c>
      <c r="E7" s="18">
        <f>C7-D7</f>
        <v>-200000.0</v>
      </c>
    </row>
    <row r="8">
      <c r="B8" s="8" t="inlineStr">
        <is>
          <t>납입 개월수</t>
        </is>
      </c>
      <c r="C8" s="44">
        <f>(가정!$C$16-가정!$C$14)*12</f>
        <v>360.0</v>
      </c>
      <c r="D8" s="44">
        <f>(가정!$C$16-가정!$C$15)*12</f>
        <v>240.0</v>
      </c>
      <c r="E8" s="44">
        <f>C8-D8</f>
        <v>120.0</v>
      </c>
    </row>
    <row r="9">
      <c r="B9" s="5" t="inlineStr">
        <is>
          <t>총 납입원금(원)</t>
        </is>
      </c>
      <c r="C9" s="18">
        <f>C7*C8</f>
        <v>108000000.0</v>
      </c>
      <c r="D9" s="18">
        <f>D7*D8</f>
        <v>120000000.0</v>
      </c>
      <c r="E9" s="18">
        <f>C9-D9</f>
        <v>-12000000.0</v>
      </c>
    </row>
    <row r="10">
      <c r="B10" s="8" t="inlineStr">
        <is>
          <t>투자수익(원)</t>
        </is>
      </c>
      <c r="C10" s="16">
        <f>C11-C9</f>
        <v>141677590.60843983</v>
      </c>
      <c r="D10" s="16">
        <f>D11-D9</f>
        <v>85516834.25783864</v>
      </c>
      <c r="E10" s="16">
        <f>C10-D10</f>
        <v>56160756.3506012</v>
      </c>
    </row>
    <row r="11">
      <c r="B11" s="10" t="inlineStr">
        <is>
          <t>60세 최종자산(원)</t>
        </is>
      </c>
      <c r="C11" s="21">
        <f>C7*((1+가정!$C$9)^(C8)-1)/가정!$C$9</f>
        <v>249677590.60843983</v>
      </c>
      <c r="D11" s="21">
        <f>D7*((1+가정!$C$9)^(D8)-1)/가정!$C$9</f>
        <v>205516834.25783864</v>
      </c>
      <c r="E11" s="21">
        <f>C11-D11</f>
        <v>44160756.3506012</v>
      </c>
    </row>
    <row r="12" ht="22" customHeight="1">
      <c r="B12" s="64" t="inlineStr">
        <is>
          <t>결론</t>
        </is>
      </c>
      <c t="str" r="C12" s="65">
        <f>"A가 원금을 "&amp;TEXT(D9-C9,"#,##0")&amp;"원 적게 넣고도 최종자산은 "&amp;TEXT(C11-D11,"#,##0")&amp;"원 더 많습니다."</f>
        <v>A가 원금을 12,000,000원 적게 넣고도 최종자산은 44,160,756원 더 많습니다.</v>
      </c>
      <c r="D12" s="66" t="n"/>
      <c r="E12" s="27" t="n"/>
    </row>
    <row r="15">
      <c r="B15" s="3" t="inlineStr">
        <is>
          <t>■ 비교 2 : 30세부터 '10년만' 넣고 멈추기  vs  40세부터 '20년 내내' 넣기</t>
        </is>
      </c>
    </row>
    <row r="16" ht="30" customHeight="1">
      <c r="B16" s="4" t="inlineStr">
        <is>
          <t>구분</t>
        </is>
      </c>
      <c r="C16" s="4" t="inlineStr">
        <is>
          <t>A. 30~40세 10년 납입 후 20년 거치</t>
        </is>
      </c>
      <c r="D16" s="4" t="inlineStr">
        <is>
          <t>B. 40~60세 20년 납입</t>
        </is>
      </c>
      <c r="E16" s="4" t="inlineStr">
        <is>
          <t>차이 (A − B)</t>
        </is>
      </c>
    </row>
    <row r="17">
      <c r="B17" s="5" t="inlineStr">
        <is>
          <t>월 납입액(원)</t>
        </is>
      </c>
      <c r="C17" s="18">
        <f>가정!$C$7</f>
        <v>500000.0</v>
      </c>
      <c r="D17" s="18">
        <f>가정!$C$7</f>
        <v>500000.0</v>
      </c>
      <c r="E17" s="18">
        <f>C17-D17</f>
        <v>0.0</v>
      </c>
    </row>
    <row r="18">
      <c r="B18" s="8" t="inlineStr">
        <is>
          <t>납입 개월수</t>
        </is>
      </c>
      <c r="C18" s="44">
        <f>(가정!$C$15-가정!$C$14)*12</f>
        <v>120.0</v>
      </c>
      <c r="D18" s="44">
        <f>(가정!$C$16-가정!$C$15)*12</f>
        <v>240.0</v>
      </c>
      <c r="E18" s="44">
        <f>C18-D18</f>
        <v>-120.0</v>
      </c>
    </row>
    <row r="19">
      <c r="B19" s="5" t="inlineStr">
        <is>
          <t>추가 거치 개월수</t>
        </is>
      </c>
      <c r="C19" s="39">
        <f>(가정!$C$16-가정!$C$15)*12</f>
        <v>240.0</v>
      </c>
      <c r="D19" s="39" t="n">
        <v>0</v>
      </c>
      <c r="E19" s="39">
        <f>C19-D19</f>
        <v>240.0</v>
      </c>
    </row>
    <row r="20">
      <c r="B20" s="8" t="inlineStr">
        <is>
          <t>총 납입원금(원)</t>
        </is>
      </c>
      <c r="C20" s="16">
        <f>C17*C18</f>
        <v>60000000.0</v>
      </c>
      <c r="D20" s="16">
        <f>D17*D18</f>
        <v>120000000.0</v>
      </c>
      <c r="E20" s="16">
        <f>C20-D20</f>
        <v>-60000000.0</v>
      </c>
    </row>
    <row r="21">
      <c r="B21" s="5" t="inlineStr">
        <is>
          <t>투자수익(원)</t>
        </is>
      </c>
      <c r="C21" s="18">
        <f>C22-C20</f>
        <v>150612483.42289436</v>
      </c>
      <c r="D21" s="18">
        <f>D22-D20</f>
        <v>85516834.25783864</v>
      </c>
      <c r="E21" s="18">
        <f>C21-D21</f>
        <v>65095649.16505572</v>
      </c>
    </row>
    <row r="22">
      <c r="B22" s="10" t="inlineStr">
        <is>
          <t>60세 최종자산(원)</t>
        </is>
      </c>
      <c r="C22" s="21">
        <f>(C17*((1+가정!$C$9)^(C18)-1)/가정!$C$9)*(1+가정!$C$9)^C19</f>
        <v>210612483.42289436</v>
      </c>
      <c r="D22" s="21">
        <f>D17*((1+가정!$C$9)^(D18)-1)/가정!$C$9</f>
        <v>205516834.25783864</v>
      </c>
      <c r="E22" s="21">
        <f>C22-D22</f>
        <v>5095649.165055722</v>
      </c>
    </row>
    <row r="23" ht="22" customHeight="1">
      <c r="B23" s="64" t="inlineStr">
        <is>
          <t>결론</t>
        </is>
      </c>
      <c t="str" r="C23" s="65">
        <f>"A는 B의 절반("&amp;TEXT(C20/D20,"0.0%")&amp;")만 납입하고 10년간 손을 뗐는데도 최종자산이 "&amp;TEXT(C22-D22,"#,##0")&amp;"원 더 많습니다."</f>
        <v>A는 B의 절반(50.0%)만 납입하고 10년간 손을 뗐는데도 최종자산이 5,095,649원 더 많습니다.</v>
      </c>
      <c r="D23" s="66" t="n"/>
      <c r="E23" s="27" t="n"/>
    </row>
    <row r="26">
      <c r="B26" s="3" t="inlineStr">
        <is>
          <t>■ 비교 3 : 40세 시작자가 '30세 · 월 30만원'을 따라잡으려면?</t>
        </is>
      </c>
    </row>
    <row r="27" ht="30" customHeight="1">
      <c r="B27" s="4" t="inlineStr">
        <is>
          <t>항목</t>
        </is>
      </c>
      <c r="C27" s="4" t="inlineStr">
        <is>
          <t>값</t>
        </is>
      </c>
      <c r="D27" s="4" t="inlineStr">
        <is>
          <t>해설</t>
        </is>
      </c>
      <c r="E27" s="27" t="n"/>
    </row>
    <row r="28">
      <c r="B28" s="5" t="inlineStr">
        <is>
          <t>30세 · 월 30만원의 60세 자산(원)</t>
        </is>
      </c>
      <c r="C28" s="18">
        <f>C11</f>
        <v>249677590.60843983</v>
      </c>
      <c r="D28" s="7" t="inlineStr">
        <is>
          <t>비교 1의 A 시나리오 결과</t>
        </is>
      </c>
      <c r="E28" s="27" t="n"/>
    </row>
    <row r="29">
      <c r="B29" s="8" t="inlineStr">
        <is>
          <t>40세 시작자의 납입 개월수</t>
        </is>
      </c>
      <c r="C29" s="44">
        <f>(가정!$C$16-가정!$C$15)*12</f>
        <v>240.0</v>
      </c>
      <c r="D29" s="7" t="inlineStr">
        <is>
          <t>40세부터 60세까지</t>
        </is>
      </c>
      <c r="E29" s="27" t="n"/>
    </row>
    <row r="30">
      <c r="B30" s="10" t="inlineStr">
        <is>
          <t>따라잡기 필요 월납입액(원)</t>
        </is>
      </c>
      <c r="C30" s="60">
        <f>(C28)/(((1+가정!$C$9)^(C29)-1)/가정!$C$9)</f>
        <v>607438.2945564394</v>
      </c>
      <c r="D30" s="7" t="inlineStr">
        <is>
          <t>30세 월 30만원과 동일한 자산을 만들기 위한 금액</t>
        </is>
      </c>
      <c r="E30" s="27" t="n"/>
    </row>
    <row r="31">
      <c r="B31" s="8" t="inlineStr">
        <is>
          <t>30만원 대비 배수</t>
        </is>
      </c>
      <c r="C31" s="17">
        <f>C30/C7</f>
        <v>2.024794315188131</v>
      </c>
      <c r="D31" s="7" t="inlineStr">
        <is>
          <t>10년 늦은 만큼 매월 이만큼 더 넣어야 함</t>
        </is>
      </c>
      <c r="E31" s="27" t="n"/>
    </row>
    <row r="32">
      <c r="B32" s="5" t="inlineStr">
        <is>
          <t>40세 시작자의 총 납입원금(원)</t>
        </is>
      </c>
      <c r="C32" s="18">
        <f>C30*C29</f>
        <v>145785190.69354546</v>
      </c>
      <c r="D32" s="7" t="inlineStr">
        <is>
          <t>필요 월납입액 × 납입 개월수</t>
        </is>
      </c>
      <c r="E32" s="27" t="n"/>
    </row>
    <row r="33">
      <c r="B33" s="8" t="inlineStr">
        <is>
          <t>30세 시작자의 총 납입원금(원)</t>
        </is>
      </c>
      <c r="C33" s="16">
        <f>C9</f>
        <v>108000000.0</v>
      </c>
      <c r="D33" s="7" t="inlineStr">
        <is>
          <t>월 30만원 × 360개월</t>
        </is>
      </c>
      <c r="E33" s="27" t="n"/>
    </row>
    <row r="34">
      <c r="B34" s="10" t="inlineStr">
        <is>
          <t>추가로 부담해야 하는 원금(원)</t>
        </is>
      </c>
      <c r="C34" s="60">
        <f>C32-C33</f>
        <v>37785190.69354546</v>
      </c>
      <c r="D34" s="7" t="inlineStr">
        <is>
          <t>같은 결과를 얻기 위해 더 내야 하는 돈</t>
        </is>
      </c>
      <c r="E34" s="27" t="n"/>
    </row>
    <row r="36">
      <c r="B36" s="3" t="inlineStr">
        <is>
          <t>핵심 메시지</t>
        </is>
      </c>
    </row>
    <row r="37">
      <c t="str" r="B37" s="25">
        <f>" · 30세에 월 30만원으로 시작한 사람을 40세에 따라잡으려면 월 "&amp;TEXT(C30,"#,##0")&amp;"원("&amp;TEXT(C31,"0.00")&amp;"배)이 필요하고, 원금은 "&amp;TEXT(C34,"#,##0")&amp;"원을 더 넣어야 합니다."</f>
        <v> · 30세에 월 30만원으로 시작한 사람을 40세에 따라잡으려면 월 607,438원(2.02배)이 필요하고, 원금은 37,785,191원을 더 넣어야 합니다.</v>
      </c>
    </row>
    <row r="38">
      <c r="B38" s="47" t="inlineStr">
        <is>
          <t xml:space="preserve"> · 즉, "얼마를 넣느냐"보다 "언제 시작하느냐"가 결과를 더 크게 좌우합니다.</t>
        </is>
      </c>
    </row>
    <row r="39">
      <c r="B39" s="47" t="inlineStr">
        <is>
          <t xml:space="preserve"> · 시작이 늦어질수록 필요한 금액은 산술적으로가 아니라 기하급수적으로 늘어납니다. 지금 소액이라도 시작하는 것이 최선의 전략입니다.</t>
        </is>
      </c>
    </row>
  </sheetData>
  <mergeCells count="13">
    <mergeCell ref="D30:E30"/>
    <mergeCell ref="D33:E33"/>
    <mergeCell ref="D34:E34"/>
    <mergeCell ref="D29:E29"/>
    <mergeCell ref="C23:E23"/>
    <mergeCell ref="D27:E27"/>
    <mergeCell ref="B38:E38"/>
    <mergeCell ref="D28:E28"/>
    <mergeCell ref="D32:E32"/>
    <mergeCell ref="B39:E39"/>
    <mergeCell ref="B37:E37"/>
    <mergeCell ref="D31:E31"/>
    <mergeCell ref="C12:E1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zoomScale="100" workbookViewId="0">
      <selection activeCell="A1" sqref="A1"/>
    </sheetView>
  </sheetViews>
  <sheetFormatPr baseColWidth="8" defaultRowHeight="15"/>
  <cols>
    <col width="2" customWidth="1" min="1" max="1"/>
    <col width="10" customWidth="1" min="2" max="2"/>
    <col width="10" customWidth="1" min="3" max="3"/>
    <col width="22" customWidth="1" min="4" max="4"/>
    <col width="22" customWidth="1" min="5" max="5"/>
    <col width="22" customWidth="1" min="6" max="6"/>
    <col width="26" customWidth="1" min="7" max="7"/>
    <col width="2" customWidth="1" min="8" max="8"/>
  </cols>
  <sheetData>
    <row r="2">
      <c r="B2" s="1" t="inlineStr">
        <is>
          <t>④ 연령별 자산 추이 (30세 → 60세)</t>
        </is>
      </c>
    </row>
    <row r="3">
      <c r="B3" s="2" t="inlineStr">
        <is>
          <t>네 가지 시나리오의 연말 평가금액입니다. 그래프의 '벌어지는 간격'이 곧 시간의 힘입니다.</t>
        </is>
      </c>
    </row>
    <row r="5" ht="30" customHeight="1">
      <c r="B5" s="4" t="inlineStr">
        <is>
          <t>연령</t>
        </is>
      </c>
      <c r="C5" s="4" t="inlineStr">
        <is>
          <t>경과연수</t>
        </is>
      </c>
      <c r="D5" s="4" t="inlineStr">
        <is>
          <t>A. 30세 시작 월50만</t>
        </is>
      </c>
      <c r="E5" s="4" t="inlineStr">
        <is>
          <t>B. 40세 시작 월50만</t>
        </is>
      </c>
      <c r="F5" s="4" t="inlineStr">
        <is>
          <t>C. 30세 시작 월30만</t>
        </is>
      </c>
      <c r="G5" s="4" t="inlineStr">
        <is>
          <t>D. 30~40세 월50만 후 거치</t>
        </is>
      </c>
    </row>
    <row r="6">
      <c r="B6" s="56">
        <f>가정!$C$14+0</f>
        <v>30.0</v>
      </c>
      <c r="C6" s="57" t="n">
        <v>0</v>
      </c>
      <c r="D6" s="18" t="n">
        <v>0</v>
      </c>
      <c r="E6" s="18" t="n">
        <v>0</v>
      </c>
      <c r="F6" s="18" t="n">
        <v>0</v>
      </c>
      <c r="G6" s="18" t="n">
        <v>0</v>
      </c>
    </row>
    <row r="7">
      <c r="B7" s="54">
        <f>가정!$C$14+1</f>
        <v>31.0</v>
      </c>
      <c r="C7" s="55" t="n">
        <v>1</v>
      </c>
      <c r="D7" s="16">
        <f>D6*가정!$C$10+IF(AND(B7&gt;가정!$C$14,B7&lt;=가정!$C$16),가정!$C$7,0)*((1+가정!$C$9)^12-1)/가정!$C$9</f>
        <v>6139427.745807957</v>
      </c>
      <c r="E7" s="16">
        <f>E6*가정!$C$10+IF(AND(B7&gt;가정!$C$15,B7&lt;=가정!$C$16),가정!$C$7,0)*((1+가정!$C$9)^12-1)/가정!$C$9</f>
        <v>0.0</v>
      </c>
      <c r="F7" s="16">
        <f>F6*가정!$C$10+IF(AND(B7&gt;가정!$C$14,B7&lt;=가정!$C$16),'3_적게빨리vs많이늦게'!$C$7,0)*((1+가정!$C$9)^12-1)/가정!$C$9</f>
        <v>3683656.6474847747</v>
      </c>
      <c r="G7" s="16">
        <f>G6*가정!$C$10+IF(AND(B7&gt;가정!$C$14,B7&lt;=가정!$C$15),가정!$C$7,0)*((1+가정!$C$9)^12-1)/가정!$C$9</f>
        <v>6139427.745807957</v>
      </c>
    </row>
    <row r="8">
      <c r="B8" s="56">
        <f>가정!$C$14+2</f>
        <v>32.0</v>
      </c>
      <c r="C8" s="57" t="n">
        <v>2</v>
      </c>
      <c r="D8" s="18">
        <f>D7*가정!$C$10+IF(AND(B8&gt;가정!$C$14,B8&lt;=가정!$C$16),가정!$C$7,0)*((1+가정!$C$9)^12-1)/가정!$C$9</f>
        <v>12592960.266999219</v>
      </c>
      <c r="E8" s="18">
        <f>E7*가정!$C$10+IF(AND(B8&gt;가정!$C$15,B8&lt;=가정!$C$16),가정!$C$7,0)*((1+가정!$C$9)^12-1)/가정!$C$9</f>
        <v>0.0</v>
      </c>
      <c r="F8" s="18">
        <f>F7*가정!$C$10+IF(AND(B8&gt;가정!$C$14,B8&lt;=가정!$C$16),'3_적게빨리vs많이늦게'!$C$7,0)*((1+가정!$C$9)^12-1)/가정!$C$9</f>
        <v>7555776.160199532</v>
      </c>
      <c r="G8" s="18">
        <f>G7*가정!$C$10+IF(AND(B8&gt;가정!$C$14,B8&lt;=가정!$C$15),가정!$C$7,0)*((1+가정!$C$9)^12-1)/가정!$C$9</f>
        <v>12592960.266999219</v>
      </c>
    </row>
    <row r="9">
      <c r="B9" s="54">
        <f>가정!$C$14+3</f>
        <v>33.0</v>
      </c>
      <c r="C9" s="55" t="n">
        <v>3</v>
      </c>
      <c r="D9" s="16">
        <f>D8*가정!$C$10+IF(AND(B9&gt;가정!$C$14,B9&lt;=가정!$C$16),가정!$C$7,0)*((1+가정!$C$9)^12-1)/가정!$C$9</f>
        <v>19376667.76001611</v>
      </c>
      <c r="E9" s="16">
        <f>E8*가정!$C$10+IF(AND(B9&gt;가정!$C$15,B9&lt;=가정!$C$16),가정!$C$7,0)*((1+가정!$C$9)^12-1)/가정!$C$9</f>
        <v>0.0</v>
      </c>
      <c r="F9" s="16">
        <f>F8*가정!$C$10+IF(AND(B9&gt;가정!$C$14,B9&lt;=가정!$C$16),'3_적게빨리vs많이늦게'!$C$7,0)*((1+가정!$C$9)^12-1)/가정!$C$9</f>
        <v>11626000.656009667</v>
      </c>
      <c r="G9" s="16">
        <f>G8*가정!$C$10+IF(AND(B9&gt;가정!$C$14,B9&lt;=가정!$C$15),가정!$C$7,0)*((1+가정!$C$9)^12-1)/가정!$C$9</f>
        <v>19376667.76001611</v>
      </c>
    </row>
    <row r="10">
      <c r="B10" s="56">
        <f>가정!$C$14+4</f>
        <v>34.0</v>
      </c>
      <c r="C10" s="57" t="n">
        <v>4</v>
      </c>
      <c r="D10" s="18">
        <f>D9*가정!$C$10+IF(AND(B10&gt;가정!$C$14,B10&lt;=가정!$C$16),가정!$C$7,0)*((1+가정!$C$9)^12-1)/가정!$C$9</f>
        <v>26507442.60305028</v>
      </c>
      <c r="E10" s="18">
        <f>E9*가정!$C$10+IF(AND(B10&gt;가정!$C$15,B10&lt;=가정!$C$16),가정!$C$7,0)*((1+가정!$C$9)^12-1)/가정!$C$9</f>
        <v>0.0</v>
      </c>
      <c r="F10" s="18">
        <f>F9*가정!$C$10+IF(AND(B10&gt;가정!$C$14,B10&lt;=가정!$C$16),'3_적게빨리vs많이늦게'!$C$7,0)*((1+가정!$C$9)^12-1)/가정!$C$9</f>
        <v>15904465.561830167</v>
      </c>
      <c r="G10" s="18">
        <f>G9*가정!$C$10+IF(AND(B10&gt;가정!$C$14,B10&lt;=가정!$C$15),가정!$C$7,0)*((1+가정!$C$9)^12-1)/가정!$C$9</f>
        <v>26507442.60305028</v>
      </c>
    </row>
    <row r="11">
      <c r="B11" s="54">
        <f>가정!$C$14+5</f>
        <v>35.0</v>
      </c>
      <c r="C11" s="55" t="n">
        <v>5</v>
      </c>
      <c r="D11" s="16">
        <f>D10*가정!$C$10+IF(AND(B11&gt;가정!$C$14,B11&lt;=가정!$C$16),가정!$C$7,0)*((1+가정!$C$9)^12-1)/가정!$C$9</f>
        <v>34003041.42042139</v>
      </c>
      <c r="E11" s="16">
        <f>E10*가정!$C$10+IF(AND(B11&gt;가정!$C$15,B11&lt;=가정!$C$16),가정!$C$7,0)*((1+가정!$C$9)^12-1)/가정!$C$9</f>
        <v>0.0</v>
      </c>
      <c r="F11" s="16">
        <f>F10*가정!$C$10+IF(AND(B11&gt;가정!$C$14,B11&lt;=가정!$C$16),'3_적게빨리vs많이늦게'!$C$7,0)*((1+가정!$C$9)^12-1)/가정!$C$9</f>
        <v>20401824.852252834</v>
      </c>
      <c r="G11" s="16">
        <f>G10*가정!$C$10+IF(AND(B11&gt;가정!$C$14,B11&lt;=가정!$C$15),가정!$C$7,0)*((1+가정!$C$9)^12-1)/가정!$C$9</f>
        <v>34003041.42042139</v>
      </c>
    </row>
    <row r="12">
      <c r="B12" s="56">
        <f>가정!$C$14+6</f>
        <v>36.0</v>
      </c>
      <c r="C12" s="57" t="n">
        <v>6</v>
      </c>
      <c r="D12" s="18">
        <f>D11*가정!$C$10+IF(AND(B12&gt;가정!$C$14,B12&lt;=가정!$C$16),가정!$C$7,0)*((1+가정!$C$9)^12-1)/가정!$C$9</f>
        <v>41882129.29904929</v>
      </c>
      <c r="E12" s="18">
        <f>E11*가정!$C$10+IF(AND(B12&gt;가정!$C$15,B12&lt;=가정!$C$16),가정!$C$7,0)*((1+가정!$C$9)^12-1)/가정!$C$9</f>
        <v>0.0</v>
      </c>
      <c r="F12" s="18">
        <f>F11*가정!$C$10+IF(AND(B12&gt;가정!$C$14,B12&lt;=가정!$C$16),'3_적게빨리vs많이늦게'!$C$7,0)*((1+가정!$C$9)^12-1)/가정!$C$9</f>
        <v>25129277.57942957</v>
      </c>
      <c r="G12" s="18">
        <f>G11*가정!$C$10+IF(AND(B12&gt;가정!$C$14,B12&lt;=가정!$C$15),가정!$C$7,0)*((1+가정!$C$9)^12-1)/가정!$C$9</f>
        <v>41882129.29904929</v>
      </c>
    </row>
    <row r="13">
      <c r="B13" s="54">
        <f>가정!$C$14+7</f>
        <v>37.0</v>
      </c>
      <c r="C13" s="55" t="n">
        <v>7</v>
      </c>
      <c r="D13" s="16">
        <f>D12*가정!$C$10+IF(AND(B13&gt;가정!$C$14,B13&lt;=가정!$C$16),가정!$C$7,0)*((1+가정!$C$9)^12-1)/가정!$C$9</f>
        <v>50164326.26712474</v>
      </c>
      <c r="E13" s="16">
        <f>E12*가정!$C$10+IF(AND(B13&gt;가정!$C$15,B13&lt;=가정!$C$16),가정!$C$7,0)*((1+가정!$C$9)^12-1)/가정!$C$9</f>
        <v>0.0</v>
      </c>
      <c r="F13" s="16">
        <f>F12*가정!$C$10+IF(AND(B13&gt;가정!$C$14,B13&lt;=가정!$C$16),'3_적게빨리vs많이늦게'!$C$7,0)*((1+가정!$C$9)^12-1)/가정!$C$9</f>
        <v>30098595.760274842</v>
      </c>
      <c r="G13" s="16">
        <f>G12*가정!$C$10+IF(AND(B13&gt;가정!$C$14,B13&lt;=가정!$C$15),가정!$C$7,0)*((1+가정!$C$9)^12-1)/가정!$C$9</f>
        <v>50164326.26712474</v>
      </c>
    </row>
    <row r="14">
      <c r="B14" s="56">
        <f>가정!$C$14+8</f>
        <v>38.0</v>
      </c>
      <c r="C14" s="57" t="n">
        <v>8</v>
      </c>
      <c r="D14" s="18">
        <f>D13*가정!$C$10+IF(AND(B14&gt;가정!$C$14,B14&lt;=가정!$C$16),가정!$C$7,0)*((1+가정!$C$9)^12-1)/가정!$C$9</f>
        <v>58870256.15071727</v>
      </c>
      <c r="E14" s="18">
        <f>E13*가정!$C$10+IF(AND(B14&gt;가정!$C$15,B14&lt;=가정!$C$16),가정!$C$7,0)*((1+가정!$C$9)^12-1)/가정!$C$9</f>
        <v>0.0</v>
      </c>
      <c r="F14" s="18">
        <f>F13*가정!$C$10+IF(AND(B14&gt;가정!$C$14,B14&lt;=가정!$C$16),'3_적게빨리vs많이늦게'!$C$7,0)*((1+가정!$C$9)^12-1)/가정!$C$9</f>
        <v>35322153.69043036</v>
      </c>
      <c r="G14" s="18">
        <f>G13*가정!$C$10+IF(AND(B14&gt;가정!$C$14,B14&lt;=가정!$C$15),가정!$C$7,0)*((1+가정!$C$9)^12-1)/가정!$C$9</f>
        <v>58870256.15071727</v>
      </c>
    </row>
    <row r="15">
      <c r="B15" s="54">
        <f>가정!$C$14+9</f>
        <v>39.0</v>
      </c>
      <c r="C15" s="55" t="n">
        <v>9</v>
      </c>
      <c r="D15" s="16">
        <f>D14*가정!$C$10+IF(AND(B15&gt;가정!$C$14,B15&lt;=가정!$C$16),가정!$C$7,0)*((1+가정!$C$9)^12-1)/가정!$C$9</f>
        <v>68021597.9299797</v>
      </c>
      <c r="E15" s="16">
        <f>E14*가정!$C$10+IF(AND(B15&gt;가정!$C$15,B15&lt;=가정!$C$16),가정!$C$7,0)*((1+가정!$C$9)^12-1)/가정!$C$9</f>
        <v>0.0</v>
      </c>
      <c r="F15" s="16">
        <f>F14*가정!$C$10+IF(AND(B15&gt;가정!$C$14,B15&lt;=가정!$C$16),'3_적게빨리vs많이늦게'!$C$7,0)*((1+가정!$C$9)^12-1)/가정!$C$9</f>
        <v>40812958.757987805</v>
      </c>
      <c r="G15" s="16">
        <f>G14*가정!$C$10+IF(AND(B15&gt;가정!$C$14,B15&lt;=가정!$C$15),가정!$C$7,0)*((1+가정!$C$9)^12-1)/가정!$C$9</f>
        <v>68021597.9299797</v>
      </c>
    </row>
    <row r="16">
      <c r="B16" s="56">
        <f>가정!$C$14+10</f>
        <v>40.0</v>
      </c>
      <c r="C16" s="57" t="n">
        <v>10</v>
      </c>
      <c r="D16" s="18">
        <f>D15*가정!$C$10+IF(AND(B16&gt;가정!$C$14,B16&lt;=가정!$C$16),가정!$C$7,0)*((1+가정!$C$9)^12-1)/가정!$C$9</f>
        <v>77641139.72283357</v>
      </c>
      <c r="E16" s="18">
        <f>E15*가정!$C$10+IF(AND(B16&gt;가정!$C$15,B16&lt;=가정!$C$16),가정!$C$7,0)*((1+가정!$C$9)^12-1)/가정!$C$9</f>
        <v>0.0</v>
      </c>
      <c r="F16" s="18">
        <f>F15*가정!$C$10+IF(AND(B16&gt;가정!$C$14,B16&lt;=가정!$C$16),'3_적게빨리vs많이늦게'!$C$7,0)*((1+가정!$C$9)^12-1)/가정!$C$9</f>
        <v>46584683.83370013</v>
      </c>
      <c r="G16" s="18">
        <f>G15*가정!$C$10+IF(AND(B16&gt;가정!$C$14,B16&lt;=가정!$C$15),가정!$C$7,0)*((1+가정!$C$9)^12-1)/가정!$C$9</f>
        <v>77641139.72283357</v>
      </c>
    </row>
    <row r="17">
      <c r="B17" s="54">
        <f>가정!$C$14+11</f>
        <v>41.0</v>
      </c>
      <c r="C17" s="55" t="n">
        <v>11</v>
      </c>
      <c r="D17" s="16">
        <f>D16*가정!$C$10+IF(AND(B17&gt;가정!$C$14,B17&lt;=가정!$C$16),가정!$C$7,0)*((1+가정!$C$9)^12-1)/가정!$C$9</f>
        <v>87752835.5305625</v>
      </c>
      <c r="E17" s="16">
        <f>E16*가정!$C$10+IF(AND(B17&gt;가정!$C$15,B17&lt;=가정!$C$16),가정!$C$7,0)*((1+가정!$C$9)^12-1)/가정!$C$9</f>
        <v>6139427.745807957</v>
      </c>
      <c r="F17" s="16">
        <f>F16*가정!$C$10+IF(AND(B17&gt;가정!$C$14,B17&lt;=가정!$C$16),'3_적게빨리vs많이늦게'!$C$7,0)*((1+가정!$C$9)^12-1)/가정!$C$9</f>
        <v>52651701.318337485</v>
      </c>
      <c r="G17" s="16">
        <f>G16*가정!$C$10+IF(AND(B17&gt;가정!$C$14,B17&lt;=가정!$C$15),가정!$C$7,0)*((1+가정!$C$9)^12-1)/가정!$C$9</f>
        <v>81613407.78475454</v>
      </c>
    </row>
    <row r="18">
      <c r="B18" s="56">
        <f>가정!$C$14+12</f>
        <v>42.0</v>
      </c>
      <c r="C18" s="57" t="n">
        <v>12</v>
      </c>
      <c r="D18" s="18">
        <f>D17*가정!$C$10+IF(AND(B18&gt;가정!$C$14,B18&lt;=가정!$C$16),가정!$C$7,0)*((1+가정!$C$9)^12-1)/가정!$C$9</f>
        <v>98381864.88661762</v>
      </c>
      <c r="E18" s="18">
        <f>E17*가정!$C$10+IF(AND(B18&gt;가정!$C$15,B18&lt;=가정!$C$16),가정!$C$7,0)*((1+가정!$C$9)^12-1)/가정!$C$9</f>
        <v>12592960.266999219</v>
      </c>
      <c r="F18" s="18">
        <f>F17*가정!$C$10+IF(AND(B18&gt;가정!$C$14,B18&lt;=가정!$C$16),'3_적게빨리vs많이늦게'!$C$7,0)*((1+가정!$C$9)^12-1)/가정!$C$9</f>
        <v>59029118.931970544</v>
      </c>
      <c r="G18" s="18">
        <f>G17*가정!$C$10+IF(AND(B18&gt;가정!$C$14,B18&lt;=가정!$C$15),가정!$C$7,0)*((1+가정!$C$9)^12-1)/가정!$C$9</f>
        <v>85788904.61961839</v>
      </c>
    </row>
    <row r="19">
      <c r="B19" s="54">
        <f>가정!$C$14+13</f>
        <v>43.0</v>
      </c>
      <c r="C19" s="55" t="n">
        <v>13</v>
      </c>
      <c r="D19" s="16">
        <f>D18*가정!$C$10+IF(AND(B19&gt;가정!$C$14,B19&lt;=가정!$C$16),가정!$C$7,0)*((1+가정!$C$9)^12-1)/가정!$C$9</f>
        <v>109554695.55716915</v>
      </c>
      <c r="E19" s="16">
        <f>E18*가정!$C$10+IF(AND(B19&gt;가정!$C$15,B19&lt;=가정!$C$16),가정!$C$7,0)*((1+가정!$C$9)^12-1)/가정!$C$9</f>
        <v>19376667.76001611</v>
      </c>
      <c r="F19" s="16">
        <f>F18*가정!$C$10+IF(AND(B19&gt;가정!$C$14,B19&lt;=가정!$C$16),'3_적게빨리vs많이늦게'!$C$7,0)*((1+가정!$C$9)^12-1)/가정!$C$9</f>
        <v>65732817.334301464</v>
      </c>
      <c r="G19" s="16">
        <f>G18*가정!$C$10+IF(AND(B19&gt;가정!$C$14,B19&lt;=가정!$C$15),가정!$C$7,0)*((1+가정!$C$9)^12-1)/가정!$C$9</f>
        <v>90178027.79715303</v>
      </c>
    </row>
    <row r="20">
      <c r="B20" s="56">
        <f>가정!$C$14+14</f>
        <v>44.0</v>
      </c>
      <c r="C20" s="57" t="n">
        <v>14</v>
      </c>
      <c r="D20" s="18">
        <f>D19*가정!$C$10+IF(AND(B20&gt;가정!$C$14,B20&lt;=가정!$C$16),가정!$C$7,0)*((1+가정!$C$9)^12-1)/가정!$C$9</f>
        <v>121299149.44953735</v>
      </c>
      <c r="E20" s="18">
        <f>E19*가정!$C$10+IF(AND(B20&gt;가정!$C$15,B20&lt;=가정!$C$16),가정!$C$7,0)*((1+가정!$C$9)^12-1)/가정!$C$9</f>
        <v>26507442.60305028</v>
      </c>
      <c r="F20" s="18">
        <f>F19*가정!$C$10+IF(AND(B20&gt;가정!$C$14,B20&lt;=가정!$C$16),'3_적게빨리vs많이늦게'!$C$7,0)*((1+가정!$C$9)^12-1)/가정!$C$9</f>
        <v>72779489.66972238</v>
      </c>
      <c r="G20" s="18">
        <f>G19*가정!$C$10+IF(AND(B20&gt;가정!$C$14,B20&lt;=가정!$C$15),가정!$C$7,0)*((1+가정!$C$9)^12-1)/가정!$C$9</f>
        <v>94791706.84648705</v>
      </c>
    </row>
    <row r="21">
      <c r="B21" s="54">
        <f>가정!$C$14+15</f>
        <v>45.0</v>
      </c>
      <c r="C21" s="55" t="n">
        <v>15</v>
      </c>
      <c r="D21" s="16">
        <f>D20*가정!$C$10+IF(AND(B21&gt;가정!$C$14,B21&lt;=가정!$C$16),가정!$C$7,0)*((1+가정!$C$9)^12-1)/가정!$C$9</f>
        <v>133644471.8926236</v>
      </c>
      <c r="E21" s="16">
        <f>E20*가정!$C$10+IF(AND(B21&gt;가정!$C$15,B21&lt;=가정!$C$16),가정!$C$7,0)*((1+가정!$C$9)^12-1)/가정!$C$9</f>
        <v>34003041.42042139</v>
      </c>
      <c r="F21" s="16">
        <f>F20*가정!$C$10+IF(AND(B21&gt;가정!$C$14,B21&lt;=가정!$C$16),'3_적게빨리vs많이늦게'!$C$7,0)*((1+가정!$C$9)^12-1)/가정!$C$9</f>
        <v>80186683.13557413</v>
      </c>
      <c r="G21" s="16">
        <f>G20*가정!$C$10+IF(AND(B21&gt;가정!$C$14,B21&lt;=가정!$C$15),가정!$C$7,0)*((1+가정!$C$9)^12-1)/가정!$C$9</f>
        <v>99641430.47220218</v>
      </c>
    </row>
    <row r="22">
      <c r="B22" s="56">
        <f>가정!$C$14+16</f>
        <v>46.0</v>
      </c>
      <c r="C22" s="57" t="n">
        <v>16</v>
      </c>
      <c r="D22" s="18">
        <f>D21*가정!$C$10+IF(AND(B22&gt;가정!$C$14,B22&lt;=가정!$C$16),가정!$C$7,0)*((1+가정!$C$9)^12-1)/가정!$C$9</f>
        <v>146621404.4618601</v>
      </c>
      <c r="E22" s="18">
        <f>E21*가정!$C$10+IF(AND(B22&gt;가정!$C$15,B22&lt;=가정!$C$16),가정!$C$7,0)*((1+가정!$C$9)^12-1)/가정!$C$9</f>
        <v>41882129.29904929</v>
      </c>
      <c r="F22" s="18">
        <f>F21*가정!$C$10+IF(AND(B22&gt;가정!$C$14,B22&lt;=가정!$C$16),'3_적게빨리vs많이늦게'!$C$7,0)*((1+가정!$C$9)^12-1)/가정!$C$9</f>
        <v>87972842.67711604</v>
      </c>
      <c r="G22" s="18">
        <f>G21*가정!$C$10+IF(AND(B22&gt;가정!$C$14,B22&lt;=가정!$C$15),가정!$C$7,0)*((1+가정!$C$9)^12-1)/가정!$C$9</f>
        <v>104739275.16281079</v>
      </c>
    </row>
    <row r="23">
      <c r="B23" s="54">
        <f>가정!$C$14+17</f>
        <v>47.0</v>
      </c>
      <c r="C23" s="55" t="n">
        <v>17</v>
      </c>
      <c r="D23" s="16">
        <f>D22*가정!$C$10+IF(AND(B23&gt;가정!$C$14,B23&lt;=가정!$C$16),가정!$C$7,0)*((1+가정!$C$9)^12-1)/가정!$C$9</f>
        <v>160262261.530022</v>
      </c>
      <c r="E23" s="16">
        <f>E22*가정!$C$10+IF(AND(B23&gt;가정!$C$15,B23&lt;=가정!$C$16),가정!$C$7,0)*((1+가정!$C$9)^12-1)/가정!$C$9</f>
        <v>50164326.26712474</v>
      </c>
      <c r="F23" s="16">
        <f>F22*가정!$C$10+IF(AND(B23&gt;가정!$C$14,B23&lt;=가정!$C$16),'3_적게빨리vs많이늦게'!$C$7,0)*((1+가정!$C$9)^12-1)/가정!$C$9</f>
        <v>96157356.91801319</v>
      </c>
      <c r="G23" s="16">
        <f>G22*가정!$C$10+IF(AND(B23&gt;가정!$C$14,B23&lt;=가정!$C$15),가정!$C$7,0)*((1+가정!$C$9)^12-1)/가정!$C$9</f>
        <v>110097935.26289724</v>
      </c>
    </row>
    <row r="24">
      <c r="B24" s="56">
        <f>가정!$C$14+18</f>
        <v>48.0</v>
      </c>
      <c r="C24" s="57" t="n">
        <v>18</v>
      </c>
      <c r="D24" s="18">
        <f>D23*가정!$C$10+IF(AND(B24&gt;가정!$C$14,B24&lt;=가정!$C$16),가정!$C$7,0)*((1+가정!$C$9)^12-1)/가정!$C$9</f>
        <v>174601010.73452452</v>
      </c>
      <c r="E24" s="18">
        <f>E23*가정!$C$10+IF(AND(B24&gt;가정!$C$15,B24&lt;=가정!$C$16),가정!$C$7,0)*((1+가정!$C$9)^12-1)/가정!$C$9</f>
        <v>58870256.15071727</v>
      </c>
      <c r="F24" s="18">
        <f>F23*가정!$C$10+IF(AND(B24&gt;가정!$C$14,B24&lt;=가정!$C$16),'3_적게빨리vs많이늦게'!$C$7,0)*((1+가정!$C$9)^12-1)/가정!$C$9</f>
        <v>104760606.4407147</v>
      </c>
      <c r="G24" s="18">
        <f>G23*가정!$C$10+IF(AND(B24&gt;가정!$C$14,B24&lt;=가정!$C$15),가정!$C$7,0)*((1+가정!$C$9)^12-1)/가정!$C$9</f>
        <v>115730754.58380723</v>
      </c>
    </row>
    <row r="25">
      <c r="B25" s="54">
        <f>가정!$C$14+19</f>
        <v>49.0</v>
      </c>
      <c r="C25" s="55" t="n">
        <v>19</v>
      </c>
      <c r="D25" s="16">
        <f>D24*가정!$C$10+IF(AND(B25&gt;가정!$C$14,B25&lt;=가정!$C$16),가정!$C$7,0)*((1+가정!$C$9)^12-1)/가정!$C$9</f>
        <v>189673357.56157959</v>
      </c>
      <c r="E25" s="16">
        <f>E24*가정!$C$10+IF(AND(B25&gt;가정!$C$15,B25&lt;=가정!$C$16),가정!$C$7,0)*((1+가정!$C$9)^12-1)/가정!$C$9</f>
        <v>68021597.9299797</v>
      </c>
      <c r="F25" s="16">
        <f>F24*가정!$C$10+IF(AND(B25&gt;가정!$C$14,B25&lt;=가정!$C$16),'3_적게빨리vs많이늦게'!$C$7,0)*((1+가정!$C$9)^12-1)/가정!$C$9</f>
        <v>113804014.53694774</v>
      </c>
      <c r="G25" s="16">
        <f>G24*가정!$C$10+IF(AND(B25&gt;가정!$C$14,B25&lt;=가정!$C$15),가정!$C$7,0)*((1+가정!$C$9)^12-1)/가정!$C$9</f>
        <v>121651759.63159987</v>
      </c>
    </row>
    <row r="26">
      <c r="B26" s="56">
        <f>가정!$C$14+20</f>
        <v>50.0</v>
      </c>
      <c r="C26" s="57" t="n">
        <v>20</v>
      </c>
      <c r="D26" s="18">
        <f>D25*가정!$C$10+IF(AND(B26&gt;가정!$C$14,B26&lt;=가정!$C$16),가정!$C$7,0)*((1+가정!$C$9)^12-1)/가정!$C$9</f>
        <v>205516834.2578385</v>
      </c>
      <c r="E26" s="18">
        <f>E25*가정!$C$10+IF(AND(B26&gt;가정!$C$15,B26&lt;=가정!$C$16),가정!$C$7,0)*((1+가정!$C$9)^12-1)/가정!$C$9</f>
        <v>77641139.72283357</v>
      </c>
      <c r="F26" s="18">
        <f>F25*가정!$C$10+IF(AND(B26&gt;가정!$C$14,B26&lt;=가정!$C$16),'3_적게빨리vs많이늦게'!$C$7,0)*((1+가정!$C$9)^12-1)/가정!$C$9</f>
        <v>123310100.5547031</v>
      </c>
      <c r="G26" s="18">
        <f>G25*가정!$C$10+IF(AND(B26&gt;가정!$C$14,B26&lt;=가정!$C$15),가정!$C$7,0)*((1+가정!$C$9)^12-1)/가정!$C$9</f>
        <v>127875694.53500491</v>
      </c>
    </row>
    <row r="27">
      <c r="B27" s="54">
        <f>가정!$C$14+21</f>
        <v>51.0</v>
      </c>
      <c r="C27" s="55" t="n">
        <v>21</v>
      </c>
      <c r="D27" s="16">
        <f>D26*가정!$C$10+IF(AND(B27&gt;가정!$C$14,B27&lt;=가정!$C$16),가정!$C$7,0)*((1+가정!$C$9)^12-1)/가정!$C$9</f>
        <v>222170893.290923</v>
      </c>
      <c r="E27" s="16">
        <f>E26*가정!$C$10+IF(AND(B27&gt;가정!$C$15,B27&lt;=가정!$C$16),가정!$C$7,0)*((1+가정!$C$9)^12-1)/가정!$C$9</f>
        <v>87752835.5305625</v>
      </c>
      <c r="F27" s="16">
        <f>F26*가정!$C$10+IF(AND(B27&gt;가정!$C$14,B27&lt;=가정!$C$16),'3_적게빨리vs많이늦게'!$C$7,0)*((1+가정!$C$9)^12-1)/가정!$C$9</f>
        <v>133302535.97455382</v>
      </c>
      <c r="G27" s="16">
        <f>G26*가정!$C$10+IF(AND(B27&gt;가정!$C$14,B27&lt;=가정!$C$15),가정!$C$7,0)*((1+가정!$C$9)^12-1)/가정!$C$9</f>
        <v>134418057.7603605</v>
      </c>
    </row>
    <row r="28">
      <c r="B28" s="56">
        <f>가정!$C$14+22</f>
        <v>52.0</v>
      </c>
      <c r="C28" s="57" t="n">
        <v>22</v>
      </c>
      <c r="D28" s="18">
        <f>D27*가정!$C$10+IF(AND(B28&gt;가정!$C$14,B28&lt;=가정!$C$16),가정!$C$7,0)*((1+가정!$C$9)^12-1)/가정!$C$9</f>
        <v>239677005.59157455</v>
      </c>
      <c r="E28" s="18">
        <f>E27*가정!$C$10+IF(AND(B28&gt;가정!$C$15,B28&lt;=가정!$C$16),가정!$C$7,0)*((1+가정!$C$9)^12-1)/가정!$C$9</f>
        <v>98381864.88661762</v>
      </c>
      <c r="F28" s="18">
        <f>F27*가정!$C$10+IF(AND(B28&gt;가정!$C$14,B28&lt;=가정!$C$16),'3_적게빨리vs많이늦게'!$C$7,0)*((1+가정!$C$9)^12-1)/가정!$C$9</f>
        <v>143806203.35494477</v>
      </c>
      <c r="G28" s="18">
        <f>G27*가정!$C$10+IF(AND(B28&gt;가정!$C$14,B28&lt;=가정!$C$15),가정!$C$7,0)*((1+가정!$C$9)^12-1)/가정!$C$9</f>
        <v>141295140.70495695</v>
      </c>
    </row>
    <row r="29">
      <c r="B29" s="54">
        <f>가정!$C$14+23</f>
        <v>53.0</v>
      </c>
      <c r="C29" s="55" t="n">
        <v>23</v>
      </c>
      <c r="D29" s="16">
        <f>D28*가정!$C$10+IF(AND(B29&gt;가정!$C$14,B29&lt;=가정!$C$16),가정!$C$7,0)*((1+가정!$C$9)^12-1)/가정!$C$9</f>
        <v>258078763.82205817</v>
      </c>
      <c r="E29" s="16">
        <f>E28*가정!$C$10+IF(AND(B29&gt;가정!$C$15,B29&lt;=가정!$C$16),가정!$C$7,0)*((1+가정!$C$9)^12-1)/가정!$C$9</f>
        <v>109554695.55716915</v>
      </c>
      <c r="F29" s="16">
        <f>F28*가정!$C$10+IF(AND(B29&gt;가정!$C$14,B29&lt;=가정!$C$16),'3_적게빨리vs많이늦게'!$C$7,0)*((1+가정!$C$9)^12-1)/가정!$C$9</f>
        <v>154847258.29323494</v>
      </c>
      <c r="G29" s="16">
        <f>G28*가정!$C$10+IF(AND(B29&gt;가정!$C$14,B29&lt;=가정!$C$15),가정!$C$7,0)*((1+가정!$C$9)^12-1)/가정!$C$9</f>
        <v>148524068.26488906</v>
      </c>
    </row>
    <row r="30">
      <c r="B30" s="56">
        <f>가정!$C$14+24</f>
        <v>54.0</v>
      </c>
      <c r="C30" s="57" t="n">
        <v>24</v>
      </c>
      <c r="D30" s="18">
        <f>D29*가정!$C$10+IF(AND(B30&gt;가정!$C$14,B30&lt;=가정!$C$16),가정!$C$7,0)*((1+가정!$C$9)^12-1)/가정!$C$9</f>
        <v>277421990.92797416</v>
      </c>
      <c r="E30" s="18">
        <f>E29*가정!$C$10+IF(AND(B30&gt;가정!$C$15,B30&lt;=가정!$C$16),가정!$C$7,0)*((1+가정!$C$9)^12-1)/가정!$C$9</f>
        <v>121299149.44953735</v>
      </c>
      <c r="F30" s="18">
        <f>F29*가정!$C$10+IF(AND(B30&gt;가정!$C$14,B30&lt;=가정!$C$16),'3_적게빨리vs많이늦게'!$C$7,0)*((1+가정!$C$9)^12-1)/가정!$C$9</f>
        <v>166453194.55678454</v>
      </c>
      <c r="G30" s="18">
        <f>G29*가정!$C$10+IF(AND(B30&gt;가정!$C$14,B30&lt;=가정!$C$15),가정!$C$7,0)*((1+가정!$C$9)^12-1)/가정!$C$9</f>
        <v>156122841.47843686</v>
      </c>
    </row>
    <row r="31">
      <c r="B31" s="54">
        <f>가정!$C$14+25</f>
        <v>55.0</v>
      </c>
      <c r="C31" s="55" t="n">
        <v>25</v>
      </c>
      <c r="D31" s="16">
        <f>D30*가정!$C$10+IF(AND(B31&gt;가정!$C$14,B31&lt;=가정!$C$16),가정!$C$7,0)*((1+가정!$C$9)^12-1)/가정!$C$9</f>
        <v>297754854.24378616</v>
      </c>
      <c r="E31" s="16">
        <f>E30*가정!$C$10+IF(AND(B31&gt;가정!$C$15,B31&lt;=가정!$C$16),가정!$C$7,0)*((1+가정!$C$9)^12-1)/가정!$C$9</f>
        <v>133644471.8926236</v>
      </c>
      <c r="F31" s="16">
        <f>F30*가정!$C$10+IF(AND(B31&gt;가정!$C$14,B31&lt;=가정!$C$16),'3_적게빨리vs많이늦게'!$C$7,0)*((1+가정!$C$9)^12-1)/가정!$C$9</f>
        <v>178652912.54627177</v>
      </c>
      <c r="G31" s="16">
        <f>G30*가정!$C$10+IF(AND(B31&gt;가정!$C$14,B31&lt;=가정!$C$15),가정!$C$7,0)*((1+가정!$C$9)^12-1)/가정!$C$9</f>
        <v>164110382.35116264</v>
      </c>
    </row>
    <row r="32">
      <c r="B32" s="56">
        <f>가정!$C$14+26</f>
        <v>56.0</v>
      </c>
      <c r="C32" s="57" t="n">
        <v>26</v>
      </c>
      <c r="D32" s="18">
        <f>D31*가정!$C$10+IF(AND(B32&gt;가정!$C$14,B32&lt;=가정!$C$16),가정!$C$7,0)*((1+가정!$C$9)^12-1)/가정!$C$9</f>
        <v>319127985.43620497</v>
      </c>
      <c r="E32" s="18">
        <f>E31*가정!$C$10+IF(AND(B32&gt;가정!$C$15,B32&lt;=가정!$C$16),가정!$C$7,0)*((1+가정!$C$9)^12-1)/가정!$C$9</f>
        <v>146621404.4618601</v>
      </c>
      <c r="F32" s="18">
        <f>F31*가정!$C$10+IF(AND(B32&gt;가정!$C$14,B32&lt;=가정!$C$16),'3_적게빨리vs많이늦게'!$C$7,0)*((1+가정!$C$9)^12-1)/가정!$C$9</f>
        <v>191476791.26172307</v>
      </c>
      <c r="G32" s="18">
        <f>G31*가정!$C$10+IF(AND(B32&gt;가정!$C$14,B32&lt;=가정!$C$15),가정!$C$7,0)*((1+가정!$C$9)^12-1)/가정!$C$9</f>
        <v>172506580.97434497</v>
      </c>
    </row>
    <row r="33">
      <c r="B33" s="54">
        <f>가정!$C$14+27</f>
        <v>57.0</v>
      </c>
      <c r="C33" s="55" t="n">
        <v>27</v>
      </c>
      <c r="D33" s="16">
        <f>D32*가정!$C$10+IF(AND(B33&gt;가정!$C$14,B33&lt;=가정!$C$16),가정!$C$7,0)*((1+가정!$C$9)^12-1)/가정!$C$9</f>
        <v>341594606.5841032</v>
      </c>
      <c r="E33" s="16">
        <f>E32*가정!$C$10+IF(AND(B33&gt;가정!$C$15,B33&lt;=가정!$C$16),가정!$C$7,0)*((1+가정!$C$9)^12-1)/가정!$C$9</f>
        <v>160262261.530022</v>
      </c>
      <c r="F33" s="16">
        <f>F32*가정!$C$10+IF(AND(B33&gt;가정!$C$14,B33&lt;=가정!$C$16),'3_적게빨리vs많이늦게'!$C$7,0)*((1+가정!$C$9)^12-1)/가정!$C$9</f>
        <v>204956763.950462</v>
      </c>
      <c r="G33" s="16">
        <f>G32*가정!$C$10+IF(AND(B33&gt;가정!$C$14,B33&lt;=가정!$C$15),가정!$C$7,0)*((1+가정!$C$9)^12-1)/가정!$C$9</f>
        <v>181332345.05408132</v>
      </c>
    </row>
    <row r="34">
      <c r="B34" s="56">
        <f>가정!$C$14+28</f>
        <v>58.0</v>
      </c>
      <c r="C34" s="57" t="n">
        <v>28</v>
      </c>
      <c r="D34" s="18">
        <f>D33*가정!$C$10+IF(AND(B34&gt;가정!$C$14,B34&lt;=가정!$C$16),가정!$C$7,0)*((1+가정!$C$9)^12-1)/가정!$C$9</f>
        <v>365210662.7089178</v>
      </c>
      <c r="E34" s="18">
        <f>E33*가정!$C$10+IF(AND(B34&gt;가정!$C$15,B34&lt;=가정!$C$16),가정!$C$7,0)*((1+가정!$C$9)^12-1)/가정!$C$9</f>
        <v>174601010.73452452</v>
      </c>
      <c r="F34" s="18">
        <f>F33*가정!$C$10+IF(AND(B34&gt;가정!$C$14,B34&lt;=가정!$C$16),'3_적게빨리vs많이늦게'!$C$7,0)*((1+가정!$C$9)^12-1)/가정!$C$9</f>
        <v>219126397.62535077</v>
      </c>
      <c r="G34" s="18">
        <f>G33*가정!$C$10+IF(AND(B34&gt;가정!$C$14,B34&lt;=가정!$C$15),가정!$C$7,0)*((1+가정!$C$9)^12-1)/가정!$C$9</f>
        <v>190609651.9743934</v>
      </c>
    </row>
    <row r="35">
      <c r="B35" s="54">
        <f>가정!$C$14+29</f>
        <v>59.0</v>
      </c>
      <c r="C35" s="55" t="n">
        <v>29</v>
      </c>
      <c r="D35" s="16">
        <f>D34*가정!$C$10+IF(AND(B35&gt;가정!$C$14,B35&lt;=가정!$C$16),가정!$C$7,0)*((1+가정!$C$9)^12-1)/가정!$C$9</f>
        <v>390034961.0855594</v>
      </c>
      <c r="E35" s="16">
        <f>E34*가정!$C$10+IF(AND(B35&gt;가정!$C$15,B35&lt;=가정!$C$16),가정!$C$7,0)*((1+가정!$C$9)^12-1)/가정!$C$9</f>
        <v>189673357.56157959</v>
      </c>
      <c r="F35" s="16">
        <f>F34*가정!$C$10+IF(AND(B35&gt;가정!$C$14,B35&lt;=가정!$C$16),'3_적게빨리vs많이늦게'!$C$7,0)*((1+가정!$C$9)^12-1)/가정!$C$9</f>
        <v>234020976.65133578</v>
      </c>
      <c r="G35" s="16">
        <f>G34*가정!$C$10+IF(AND(B35&gt;가정!$C$14,B35&lt;=가정!$C$15),가정!$C$7,0)*((1+가정!$C$9)^12-1)/가정!$C$9</f>
        <v>200361603.52397996</v>
      </c>
    </row>
    <row r="36">
      <c r="B36" s="56">
        <f>가정!$C$14+30</f>
        <v>60.0</v>
      </c>
      <c r="C36" s="57" t="n">
        <v>30</v>
      </c>
      <c r="D36" s="18">
        <f>D35*가정!$C$10+IF(AND(B36&gt;가정!$C$14,B36&lt;=가정!$C$16),가정!$C$7,0)*((1+가정!$C$9)^12-1)/가정!$C$9</f>
        <v>416129317.6807325</v>
      </c>
      <c r="E36" s="18">
        <f>E35*가정!$C$10+IF(AND(B36&gt;가정!$C$15,B36&lt;=가정!$C$16),가정!$C$7,0)*((1+가정!$C$9)^12-1)/가정!$C$9</f>
        <v>205516834.2578385</v>
      </c>
      <c r="F36" s="18">
        <f>F35*가정!$C$10+IF(AND(B36&gt;가정!$C$14,B36&lt;=가정!$C$16),'3_적게빨리vs많이늦게'!$C$7,0)*((1+가정!$C$9)^12-1)/가정!$C$9</f>
        <v>249677590.60843962</v>
      </c>
      <c r="G36" s="18">
        <f>G35*가정!$C$10+IF(AND(B36&gt;가정!$C$14,B36&lt;=가정!$C$15),가정!$C$7,0)*((1+가정!$C$9)^12-1)/가정!$C$9</f>
        <v>210612483.4228941</v>
      </c>
    </row>
    <row r="38">
      <c r="B38" s="67" t="inlineStr">
        <is>
          <t>60세 시점 요약</t>
        </is>
      </c>
      <c r="C38" s="27" t="n"/>
      <c r="D38" s="11">
        <f>D36</f>
        <v>416129317.6807325</v>
      </c>
      <c r="E38" s="11">
        <f>E36</f>
        <v>205516834.2578385</v>
      </c>
      <c r="F38" s="11">
        <f>F36</f>
        <v>249677590.60843962</v>
      </c>
      <c r="G38" s="11">
        <f>G36</f>
        <v>210612483.4228941</v>
      </c>
    </row>
    <row r="39">
      <c r="B39" s="5" t="inlineStr">
        <is>
          <t>총 납입원금</t>
        </is>
      </c>
      <c r="C39" s="27" t="n"/>
      <c r="D39" s="18">
        <f>가정!$C$7*(가정!$C$16-가정!$C$14)*12</f>
        <v>180000000.0</v>
      </c>
      <c r="E39" s="18">
        <f>가정!$C$7*(가정!$C$16-가정!$C$15)*12</f>
        <v>120000000.0</v>
      </c>
      <c r="F39" s="18">
        <f>'3_적게빨리vs많이늦게'!$C$7*(가정!$C$16-가정!$C$14)*12</f>
        <v>108000000.0</v>
      </c>
      <c r="G39" s="18">
        <f>가정!$C$7*(가정!$C$15-가정!$C$14)*12</f>
        <v>60000000.0</v>
      </c>
    </row>
    <row r="40">
      <c r="B40" s="5" t="inlineStr">
        <is>
          <t>원금 1원당 최종자산</t>
        </is>
      </c>
      <c r="C40" s="27" t="n"/>
      <c r="D40" s="68">
        <f>D38/D39</f>
        <v>2.3118295426707363</v>
      </c>
      <c r="E40" s="68">
        <f>E38/E39</f>
        <v>1.7126402854819873</v>
      </c>
      <c r="F40" s="68">
        <f>F38/F39</f>
        <v>2.311829542670737</v>
      </c>
      <c r="G40" s="68">
        <f>G38/G39</f>
        <v>3.510208057048235</v>
      </c>
    </row>
  </sheetData>
  <mergeCells count="3">
    <mergeCell ref="B39:C39"/>
    <mergeCell ref="B38:C38"/>
    <mergeCell ref="B40:C40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2026-08-25T01:55:43Z</dcterms:created>
  <dcterms:modified xsi:type="dcterms:W3CDTF">2026-08-25T01:55:43Z</dcterms:modified>
</cp:coreProperties>
</file>